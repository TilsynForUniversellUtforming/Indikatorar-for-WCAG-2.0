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121 - 01\"/>
    </mc:Choice>
  </mc:AlternateContent>
  <bookViews>
    <workbookView xWindow="0" yWindow="0" windowWidth="15090" windowHeight="6855" tabRatio="599"/>
  </bookViews>
  <sheets>
    <sheet name="Registering" sheetId="1" r:id="rId1"/>
    <sheet name="Data" sheetId="2" r:id="rId2"/>
    <sheet name="Utfall" sheetId="5" r:id="rId3"/>
    <sheet name="Logikk" sheetId="3" r:id="rId4"/>
  </sheets>
  <definedNames>
    <definedName name="_xlnm._FilterDatabase" localSheetId="1" hidden="1">Data!$A$15:$F$26</definedName>
    <definedName name="data_ant_live_klipp">Data!$D$7</definedName>
    <definedName name="data_ant_mediaalt">Data!$D$8</definedName>
    <definedName name="har_lyd">Registering!$D$13</definedName>
    <definedName name="ikke_video">Data!$D$5</definedName>
    <definedName name="klipp">Registering!$D$19</definedName>
    <definedName name="kommentar">Registering!$D$34</definedName>
    <definedName name="lydklipp">Registering!#REF!</definedName>
    <definedName name="nettleser">Registering!$D$8</definedName>
    <definedName name="SIDE">Registering!$D$18</definedName>
    <definedName name="slutt_data">Registering!$D$35</definedName>
    <definedName name="StartTabell" localSheetId="1">Data!$A$15</definedName>
    <definedName name="sum_testa">Data!$D$11</definedName>
    <definedName name="url">Registering!$D$18</definedName>
    <definedName name="uten_lyd">Data!$D$6</definedName>
    <definedName name="versjon.nettleser">Registering!$D$9</definedName>
    <definedName name="Z_1AA42419_1160_47F5_8DEA_15A50A157DEE_.wvu.FilterData" localSheetId="1" hidden="1">Data!$A$15:$F$26</definedName>
    <definedName name="Z_2AD4F69B_2293_4CEA_BBDE_54830C532392_.wvu.FilterData" localSheetId="1" hidden="1">Data!$A$15:$F$26</definedName>
    <definedName name="Z_2AD4F69B_2293_4CEA_BBDE_54830C532392_.wvu.PrintTitles" localSheetId="0" hidden="1">Registering!$4:$4</definedName>
    <definedName name="Z_2AD4F69B_2293_4CEA_BBDE_54830C532392_.wvu.Rows" localSheetId="1" hidden="1">Data!$2:$2</definedName>
    <definedName name="Z_2AD4F69B_2293_4CEA_BBDE_54830C532392_.wvu.Rows" localSheetId="0" hidden="1">Registering!$2:$2</definedName>
    <definedName name="Z_49E71582_E632_4C02_B1A6_EB43BB56B0A8_.wvu.FilterData" localSheetId="1" hidden="1">Data!$A$15:$F$26</definedName>
    <definedName name="Z_49E71582_E632_4C02_B1A6_EB43BB56B0A8_.wvu.Rows" localSheetId="1" hidden="1">Data!$2:$2</definedName>
    <definedName name="Z_A256185D_3FED_4216_9EB5_F7E7AD436EE2_.wvu.FilterData" localSheetId="1" hidden="1">Data!$A$15:$F$26</definedName>
    <definedName name="Z_A256185D_3FED_4216_9EB5_F7E7AD436EE2_.wvu.PrintTitles" localSheetId="0" hidden="1">Registering!$4:$4</definedName>
    <definedName name="Z_A256185D_3FED_4216_9EB5_F7E7AD436EE2_.wvu.Rows" localSheetId="1" hidden="1">Data!$2:$2</definedName>
    <definedName name="Z_A256185D_3FED_4216_9EB5_F7E7AD436EE2_.wvu.Rows" localSheetId="0" hidden="1">Registering!$2:$2</definedName>
    <definedName name="Z_C1DE02DC_85CC_4A1E_B2FE_5BA1C75D8607_.wvu.FilterData" localSheetId="1" hidden="1">Data!$A$15:$F$26</definedName>
    <definedName name="Z_C1DE02DC_85CC_4A1E_B2FE_5BA1C75D8607_.wvu.PrintTitles" localSheetId="0" hidden="1">Registering!$4:$4</definedName>
    <definedName name="Z_C1DE02DC_85CC_4A1E_B2FE_5BA1C75D8607_.wvu.Rows" localSheetId="1" hidden="1">Data!$2:$2</definedName>
    <definedName name="Z_C1DE02DC_85CC_4A1E_B2FE_5BA1C75D8607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Fossøy, Geir Sindre - Personlig visning" guid="{A256185D-3FED-4216-9EB5-F7E7AD436EE2}" mergeInterval="0" personalView="1" maximized="1" xWindow="-8" yWindow="-8" windowWidth="1936" windowHeight="1176" tabRatio="599" activeSheetId="1"/>
    <customWorkbookView name="Sterri, Brynhild Runa - Personlig visning" guid="{C1DE02DC-85CC-4A1E-B2FE-5BA1C75D8607}" mergeInterval="0" personalView="1" maximized="1" xWindow="-11" yWindow="-11" windowWidth="1942" windowHeight="1046" tabRatio="599" activeSheetId="1" showComments="commIndAndComment"/>
    <customWorkbookView name="Colban, Anne-Marie - Personlig visning" guid="{2AD4F69B-2293-4CEA-BBDE-54830C532392}" mergeInterval="0" personalView="1" maximized="1" xWindow="1912" yWindow="-8" windowWidth="1936" windowHeight="1216" tabRatio="599"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c r="D13" i="2" l="1"/>
  <c r="D12" i="2"/>
  <c r="D11" i="2"/>
</calcChain>
</file>

<file path=xl/sharedStrings.xml><?xml version="1.0" encoding="utf-8"?>
<sst xmlns="http://schemas.openxmlformats.org/spreadsheetml/2006/main" count="337" uniqueCount="164">
  <si>
    <t>Nr</t>
  </si>
  <si>
    <t>1.1</t>
  </si>
  <si>
    <t>1.2</t>
  </si>
  <si>
    <t>1. Førebuing</t>
  </si>
  <si>
    <t>Beskrivelse/Kommentar</t>
  </si>
  <si>
    <t>Type observasjon</t>
  </si>
  <si>
    <t>Samsvar med fasit</t>
  </si>
  <si>
    <t>Dataregistering</t>
  </si>
  <si>
    <t>SK:</t>
  </si>
  <si>
    <t>Nettlesar</t>
  </si>
  <si>
    <t>Dersom</t>
  </si>
  <si>
    <t>Fasit</t>
  </si>
  <si>
    <t>I samsvar dersom</t>
  </si>
  <si>
    <t>Ellers</t>
  </si>
  <si>
    <t>Nei</t>
  </si>
  <si>
    <t>Observasjon</t>
  </si>
  <si>
    <r>
      <rPr>
        <b/>
        <sz val="11"/>
        <color theme="1"/>
        <rFont val="Calibri"/>
        <family val="2"/>
        <scheme val="minor"/>
      </rPr>
      <t>1.2.1 Bare lyd og bare video (forhåndsinnspilt):</t>
    </r>
    <r>
      <rPr>
        <sz val="11"/>
        <color theme="1"/>
        <rFont val="Calibri"/>
        <family val="2"/>
        <scheme val="minor"/>
      </rPr>
      <t xml:space="preserve">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t>
    </r>
  </si>
  <si>
    <t>1.3</t>
  </si>
  <si>
    <t>Hjelp</t>
  </si>
  <si>
    <t>Side/Url</t>
  </si>
  <si>
    <t>Opne nettlesaren</t>
  </si>
  <si>
    <t>Instruksjon</t>
  </si>
  <si>
    <t>G166</t>
  </si>
  <si>
    <t>Videoklipp</t>
  </si>
  <si>
    <t>Ja</t>
  </si>
  <si>
    <t>Datavalidering nettlesar</t>
  </si>
  <si>
    <t>Internet Explorer</t>
  </si>
  <si>
    <t>Chrome</t>
  </si>
  <si>
    <t>Firefox</t>
  </si>
  <si>
    <t>Safari</t>
  </si>
  <si>
    <t>Andre</t>
  </si>
  <si>
    <t>3.1</t>
  </si>
  <si>
    <t>3.2</t>
  </si>
  <si>
    <t>3.3</t>
  </si>
  <si>
    <t>3.4</t>
  </si>
  <si>
    <t>3.5</t>
  </si>
  <si>
    <t>3.6</t>
  </si>
  <si>
    <t>3.7</t>
  </si>
  <si>
    <t>3.8</t>
  </si>
  <si>
    <t>3.9</t>
  </si>
  <si>
    <t>3.10</t>
  </si>
  <si>
    <t>3.11</t>
  </si>
  <si>
    <t xml:space="preserve">3.7 eller 3.12 eller 3.17 eller 3.22 = JA. </t>
  </si>
  <si>
    <t>Vel ved hjelp av nedtrekksmeny.</t>
  </si>
  <si>
    <t>Registrer kva versjon av nettlesaren du testar i.</t>
  </si>
  <si>
    <t>Denne finn du ofte under "om" eller i innstillingar for nettlesaren.</t>
  </si>
  <si>
    <t>Registrer kva nettlesar du testar i.</t>
  </si>
  <si>
    <t>2.1</t>
  </si>
  <si>
    <t>Kodar for validering Ja/Nei</t>
  </si>
  <si>
    <t>Kilde</t>
  </si>
  <si>
    <t>Oppgi url for sida videofila ligg på.</t>
  </si>
  <si>
    <t>Først skal du vurdere om videofila er unntatt frå kravet, jf formulering i suksesskriteriet.</t>
  </si>
  <si>
    <t>Skriv inn tittel på videofila.</t>
  </si>
  <si>
    <t>Legg inn tittel på videofila eller stikkord om innhaldet, dersom tittel manglar.</t>
  </si>
  <si>
    <t>Skriv inn url på ei slik form at vi kan nå aktuell nettside ved å klikke på lenka</t>
  </si>
  <si>
    <r>
      <t xml:space="preserve">Sett i gang videoen og høyr etter om det er lyd i videoen. Dersom videoen er lang, kan du ta stikkprøvar på ulike stader i videoen.
</t>
    </r>
    <r>
      <rPr>
        <b/>
        <sz val="11"/>
        <color theme="1"/>
        <rFont val="Calibri"/>
        <family val="2"/>
        <scheme val="minor"/>
      </rPr>
      <t xml:space="preserve">MERK: </t>
    </r>
    <r>
      <rPr>
        <sz val="11"/>
        <color theme="1"/>
        <rFont val="Calibri"/>
        <family val="2"/>
        <scheme val="minor"/>
      </rPr>
      <t xml:space="preserve">Med lyd meinest alle former for lyd, også lyd som ikkje er meiningsbærande eller vesentleg for å formidle innhaldet i videoen. </t>
    </r>
  </si>
  <si>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</si>
  <si>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I det følgjande skal du vurdere om det finst tekstalternativ visuelt plassert nær videoen/avspelaren</t>
  </si>
  <si>
    <t>Datavalidering tab-steg</t>
  </si>
  <si>
    <t>1-5 tabsteg</t>
  </si>
  <si>
    <t>6-10 tabsteg</t>
  </si>
  <si>
    <t>Fleire enn 10 tabsteg</t>
  </si>
  <si>
    <t>Når ikkje mekanisme med tastatur</t>
  </si>
  <si>
    <t>I det følgjande skal du vurdere om du når eit tekstalternativ via ein mekanisme i form av ei lenke, ein knapp eller liknande</t>
  </si>
  <si>
    <t>4. Kontroller i arkfane "Data" at testdata er lagt til.</t>
  </si>
  <si>
    <t>Ikkje aktuelt å gjennomføre test som følge av:</t>
  </si>
  <si>
    <t>Oppsummerte resultat for gjennomførte testar</t>
  </si>
  <si>
    <t>Testsidene har ikkje video</t>
  </si>
  <si>
    <t>Testsidene har video, men alle er direkte/live (ikkje førehandsinnspelte)</t>
  </si>
  <si>
    <t>Sum testa videoar</t>
  </si>
  <si>
    <t>Sum videoar som ikkje er i samsvar med fasit</t>
  </si>
  <si>
    <t>Sum videoar som er i samsvar med fasit</t>
  </si>
  <si>
    <t>3. Test av kvar enkelt video</t>
  </si>
  <si>
    <t xml:space="preserve">Resultat - Vurdering av unntak </t>
  </si>
  <si>
    <t>Resultat - Oppsummert for alle testobjekt</t>
  </si>
  <si>
    <t>Resultat - Pr testobjekt</t>
  </si>
  <si>
    <t>Testsidene har video, men alle er mediealternativ til tekst/lyd</t>
  </si>
  <si>
    <t>1.4</t>
  </si>
  <si>
    <t>G159
F67
F30</t>
  </si>
  <si>
    <t>G159</t>
  </si>
  <si>
    <t>Set i gang lydklippet og kontroller at det er mogleg å spele av.</t>
  </si>
  <si>
    <t>I det følgjande skal du vurdere om det finst eit mediealternativ i form av lyd</t>
  </si>
  <si>
    <t>Ikkje mogleg å verifisere</t>
  </si>
  <si>
    <t>Aktuelle metodar kan vere:
- Sjå på sidene om det finst ein playknapp eller liknande.
- Bruk internt søk på nettstaden.
- Bruke Google (Du kan bruke "site:urlnettstad søkeord" for å berre søke på ein bestemet nettstad).
Aktuelle søkeomgrep kan være: "Video", "Animasjon", "YouTube", "Viemo", "opptak", "H264", "mpeg4".
Merk at søkeomgrepa over er best tilpassa for søk interent på ein nettstad</t>
  </si>
  <si>
    <t>Testsidene har ikkje video utan lyd</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</si>
  <si>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</si>
  <si>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3.12</t>
  </si>
  <si>
    <t>3.13</t>
  </si>
  <si>
    <t xml:space="preserve">Opne førehandsdefinert testside eller gjennomfør eit manuelt søk etter videoklipp på nettstaden. 
Dersom du ikkje har funne videoklipp innan få minuttar, kan du avbryte.
</t>
  </si>
  <si>
    <t>Legg inn kommentar i dataregistreringsfeltet</t>
  </si>
  <si>
    <t>Tekstalternativ via ein mekanisme</t>
  </si>
  <si>
    <t>Observasjon på nettsidenivå</t>
  </si>
  <si>
    <t>Ikkje-førekomst</t>
  </si>
  <si>
    <t>Mediealternativ i form av lyd</t>
  </si>
  <si>
    <t>utan mekanisme til anna tekstalternativ</t>
  </si>
  <si>
    <t>som ikkje er koda som tekst</t>
  </si>
  <si>
    <t>som ikkje gir same bodskap</t>
  </si>
  <si>
    <t>utan mediealternativ i form av lyd</t>
  </si>
  <si>
    <t>som det ikkje er mogeleg å spele av</t>
  </si>
  <si>
    <t>Edge</t>
  </si>
  <si>
    <t>Tekstalternativ nær klippet</t>
  </si>
  <si>
    <t xml:space="preserve">Videoklippet har eit mediealternativ i form av lyd som kan nåast, spelast av og som gir same bodskap som videoklippet. </t>
  </si>
  <si>
    <t xml:space="preserve">Videoklippet har eit tekstalternativ som kan nåast, koda som tekst og som gir same bodskap som videoklippet. </t>
  </si>
  <si>
    <t>Videoklipp utan tekstalternativ nær klippet</t>
  </si>
  <si>
    <t xml:space="preserve">Testsidene har ikkje videoklipp, videoklippet er med lyd,  videoklippet er direkte/live, eller lydklipp er mediealternativ til tekst </t>
  </si>
  <si>
    <t>3.14</t>
  </si>
  <si>
    <t xml:space="preserve">Er informasjonen/innhaldet som blir formidla i videoen i samsvar med informasjon som blir formidla i lydklippet? </t>
  </si>
  <si>
    <t>Kor mange tab-steg treng du for å nå mekanismen (lenka/knappen eller liknande) frå videoen?
(Merk at antall tab-steg berre blir nytta til kartlegging og ikkje inngår i vudering av samsvar/avvik)</t>
  </si>
  <si>
    <r>
      <rPr>
        <b/>
        <sz val="11"/>
        <color theme="1"/>
        <rFont val="Calibri"/>
        <family val="2"/>
        <scheme val="minor"/>
      </rPr>
      <t>Merk:</t>
    </r>
    <r>
      <rPr>
        <sz val="11"/>
        <color theme="1"/>
        <rFont val="Calibri"/>
        <family val="2"/>
        <scheme val="minor"/>
      </rPr>
      <t xml:space="preserve"> Du skal ikkje teste lytt til teksten-funksjonalitet. Du skal teste lyd som refererer til video.
Eit lydklipp kan vere kjenneteikna ved: 
- Eit høgtalarikon
- Ein playknapp
- Ei lenke med ein lenketekst som for eksempel "lydklipp", "lydalternativ"
Du skal ikkje måtte scrolle vekk frå videoklippet for å sjå at det finst eit mediealternativ.
I dette steget skal du ikkje ta stilling til kvaliteten på mediealternativet.</t>
    </r>
  </si>
  <si>
    <t>I dette steget skal du ikkje ta stilling til kvaliteten på teksten. Det er nok at teksten ligg nær klippet, den kan for eksempel ligge over eller under videoklippet.
Du skal ikkje måtte scrolle vekk frå videoklippet for å finne teksten. (Du kan scrolle på sida, men videoklippet skal fortsatt vere synleg i nettlesaren).
Merk at det er ok at du må scrolle for å lese gjennom teksten.</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</si>
  <si>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</si>
  <si>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</si>
  <si>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Registrering</t>
  </si>
  <si>
    <t>Utfall</t>
  </si>
  <si>
    <t>Vurdering</t>
  </si>
  <si>
    <t>Skala</t>
  </si>
  <si>
    <t>nei</t>
  </si>
  <si>
    <t>Videoklipp utan tekstalternativ nær klippet, utan mekanisme til anna tekstalternativ og utan mediealternativ i form av lyd.</t>
  </si>
  <si>
    <t>Videoklipp utan tekstalternativ nær klippet, utan mekanisme til anna tekstalternativ og mediealternativ i form av lyd som det ikkje er mogeleg å spele av.</t>
  </si>
  <si>
    <t>Videoklipp utan tekstalternativ nær klippet, utan mekanisme til anna tekstalternativ og mediealternativ i form av lyd som ikkje gir same bodskap</t>
  </si>
  <si>
    <t>Videoklipp utan tekstalternativ nær klippet, tekstalternativ via ein mekanisme som ikkje er koda som tekst og utan mediealternativ i form av lyd.</t>
  </si>
  <si>
    <t>Videoklipp utan tekstalternativ nær klippet, tekstalternativ via ein mekanisme som ikkje er koda som tekst og mediealternativ i form av lyd som det ikkje er mogeleg å spele av.</t>
  </si>
  <si>
    <t>Tekstalternativ nær klippet som ikkje er koda som tekst, utan mekanisme til anna tekstalternativ og utan mediealternativ i form av lyd.</t>
  </si>
  <si>
    <t>Samsvar</t>
  </si>
  <si>
    <t>Brudd</t>
  </si>
  <si>
    <t>Tekstalternativ nær klippet som ikkje er koda som tekst, utan mekanisme til anna tekstalternativ og mediealternativ i form av lyd som det ikkje er mogeleg å spele av.</t>
  </si>
  <si>
    <t>Tekstalternativ nær klippet som ikkje er koda som tekst, utan mekanisme til anna tekstalternativ og mediealternativ i form av lyd som ikkje gir same bodskap.</t>
  </si>
  <si>
    <t>Tekstalternativ nær klippet som ikkje er koda som tekst, tekstalternativ via ein mekanisme som ikkje er koda som tekst og utan mediealternativ i form av lyd.</t>
  </si>
  <si>
    <t>Tekstalternativ nær klippet som ikkje er koda som tekst, tekstalternativ via ein mekanisme som ikkje er koda som tekst og mediealternativ i form av lyd som det ikkje er mogeleg å spele av.</t>
  </si>
  <si>
    <t>Tekstalternativ nær klippet som ikkje er koda som tekst, tekstalternativ via ein mekanisme som ikkje er koda som tekst og  mediealternativ i form av lyd som ikkje gir same bodskap.</t>
  </si>
  <si>
    <t>Tekstalternativ nær klippet som ikkje er koda som tekst, tekstalternativ via ein mekanisme som ikkje er koda som tekst og mediealternativ i form av lyd som ikkje gir same bodskap.</t>
  </si>
  <si>
    <t>Tekstalternativ nær klippet som ikkje gir same bodskap, utan mekanisme til anna tekstalternativ og utan mediealternativ i form av lyd.</t>
  </si>
  <si>
    <t>Tekstalternativ nær klippet som ikkje gir same bodskap, utan mekanisme til anna tekstalternativ og mediealternativ i form av lyd som det ikkje er mogeleg å spele av.</t>
  </si>
  <si>
    <t>Tekstalternativ nær klippet som ikkje gir same bodskap, utan mekanisme til anna tekstalternativ og mediealternativ i form av lyd som ikkje gir same bodskap.</t>
  </si>
  <si>
    <t>Tekstalternativ nær klippet som ikkje gir same bodskap, tekstalternativ via ein mekanisme som ikkje er koda som tekst og utan mediealternativ i form av lyd.</t>
  </si>
  <si>
    <t>Tekstalternativ nær klippet som ikkje gir same bodskap, tekstalternativ via ein mekanisme som ikkje er koda som tekst og mediealternativ i form av lyd som det ikkje er mogeleg å spele av.</t>
  </si>
  <si>
    <t>Tekstalternativ nær klippet som ikkje gir same bodskap, tekstalternativ via ein mekanisme som ikkje er koda som tekst og mediealternativ i form av lyd som ikkje gir same bodskap.</t>
  </si>
  <si>
    <t>ja</t>
  </si>
  <si>
    <t>Steg</t>
  </si>
  <si>
    <t>2.2</t>
  </si>
  <si>
    <t>2.3</t>
  </si>
  <si>
    <t>1.5</t>
  </si>
  <si>
    <t>1.2.1 b Forhåndsinnspelt video utan lyd har alternativ i form av tekst eller lyd</t>
  </si>
  <si>
    <t>2. For kvar video</t>
  </si>
  <si>
    <t>Aktuelle metodar for å finne ut dette er:
- Prøv å starte videoklippet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</si>
  <si>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Undersøk om det i tilknytning til videoen finst ein tekst som visuelt står fram som hovudformatet for formidling av informasjonen. 
Indikasjonar på at videoen er eit mediealternativ til tekst kan vere:
- Ikon (for eksempel filmkameraikon) som indikerar at det er et alternativ til ein nærliggande tekst.
- Lenke med lenketekst der det går fram at det er eit videoklipp (til dømes "sjå opptak", "animasjon").
- Eit mediealternativ til tekst er tydeleg merka når det er presentert i direkte nærleik til ein tekst og det ikkje er tvil om at det er et alternativ til den aktuelle teksten.</t>
  </si>
  <si>
    <r>
      <t xml:space="preserve">Samanlikn tekstalternativet med innhaldet i videoen:
- Gå gjennom dei første minuttane av videoen. 
- Vurder om video og tekstalternativ formidlar det same hovudinnhaldet i lik rekkefølge. 
</t>
    </r>
    <r>
      <rPr>
        <b/>
        <sz val="11"/>
        <rFont val="Calibri"/>
        <family val="2"/>
        <scheme val="minor"/>
      </rPr>
      <t xml:space="preserve">Merk: </t>
    </r>
    <r>
      <rPr>
        <sz val="11"/>
        <color theme="1"/>
        <rFont val="Calibri"/>
        <family val="2"/>
        <scheme val="minor"/>
      </rPr>
      <t xml:space="preserve">Vi krev ikkje eksakt attgjevinng av innhaldet, men at alt vesentleg innhald er teke med i rett rekkefølge.
Dersom du allereie i starten av videoen avdekkar at det </t>
    </r>
    <r>
      <rPr>
        <b/>
        <sz val="11"/>
        <color theme="1"/>
        <rFont val="Calibri"/>
        <family val="2"/>
        <scheme val="minor"/>
      </rPr>
      <t>ikkje</t>
    </r>
    <r>
      <rPr>
        <sz val="11"/>
        <color theme="1"/>
        <rFont val="Calibri"/>
        <family val="2"/>
        <scheme val="minor"/>
      </rPr>
      <t xml:space="preserve"> er samsvar mellom video og tekstalternativ, kan du stoppe gjennomgangen.</t>
    </r>
  </si>
  <si>
    <r>
      <t xml:space="preserve">Samanlikn lydklippet med innhaldet i videoen:
- Gå gjennom for eksempel dei første 5 minuttane av videoen. 
- Vurder om video og lydfil formidlar det same hovudinnhaldet i lik rekkefølge. 
</t>
    </r>
    <r>
      <rPr>
        <b/>
        <sz val="11"/>
        <color theme="1"/>
        <rFont val="Calibri"/>
        <family val="2"/>
        <scheme val="minor"/>
      </rPr>
      <t>Merk:</t>
    </r>
    <r>
      <rPr>
        <sz val="11"/>
        <color theme="1"/>
        <rFont val="Calibri"/>
        <family val="2"/>
        <scheme val="minor"/>
      </rPr>
      <t xml:space="preserve"> Vi krev ikkje eksakt attgjeving av innhaldet, men at alt vesentleg innhald er teke med i rett rekkefølge.
Dersom du allereie i starten av videoen avdekkar at det ikkje er samsvar mellom video og lydfil, kan du stoppe gjennomgangen.</t>
    </r>
  </si>
  <si>
    <r>
      <t xml:space="preserve">Har nettstaden videoklipp?
</t>
    </r>
    <r>
      <rPr>
        <b/>
        <sz val="11"/>
        <color rgb="FFFF0000"/>
        <rFont val="Calibri"/>
        <family val="2"/>
        <scheme val="minor"/>
      </rPr>
      <t>Viss Nei, gå til steg 3.14 for å skrive inn kommentar.</t>
    </r>
  </si>
  <si>
    <r>
      <t xml:space="preserve">Er videoen utan lyd?
</t>
    </r>
    <r>
      <rPr>
        <b/>
        <sz val="11"/>
        <color rgb="FFFF0000"/>
        <rFont val="Calibri"/>
        <family val="2"/>
        <scheme val="minor"/>
      </rPr>
      <t xml:space="preserve">Viss Nei, gå til steg 3.14 for å skrive inn kommentar. </t>
    </r>
  </si>
  <si>
    <r>
      <t xml:space="preserve">Er videoen forhåndsinnspelt?
</t>
    </r>
    <r>
      <rPr>
        <b/>
        <sz val="11"/>
        <color rgb="FFFF0000"/>
        <rFont val="Calibri"/>
        <family val="2"/>
        <scheme val="minor"/>
      </rPr>
      <t>Viss Nei, gå til steg 3.14 for å skrive inn kommentar.</t>
    </r>
  </si>
  <si>
    <r>
      <t xml:space="preserve">Er videoen eit mediealternativ til tekst og tydeleg merka som det?
</t>
    </r>
    <r>
      <rPr>
        <b/>
        <sz val="11"/>
        <color rgb="FFFF0000"/>
        <rFont val="Calibri"/>
        <family val="2"/>
        <scheme val="minor"/>
      </rPr>
      <t>Viss Ja, gå til steg 3.14 for å skrive inn kommentar.</t>
    </r>
  </si>
  <si>
    <r>
      <t xml:space="preserve">Finst det ein tekst visuelt plassert nær videoklippet/avspelaren som omtaler klippet?
</t>
    </r>
    <r>
      <rPr>
        <b/>
        <sz val="11"/>
        <color rgb="FFFF0000"/>
        <rFont val="Calibri"/>
        <family val="2"/>
        <scheme val="minor"/>
      </rPr>
      <t>Viss Nei, gå til steg 3.6.</t>
    </r>
  </si>
  <si>
    <r>
      <t xml:space="preserve">Er tekstalternativet koda som tekst?
</t>
    </r>
    <r>
      <rPr>
        <b/>
        <sz val="11"/>
        <color rgb="FFFF0000"/>
        <rFont val="Calibri"/>
        <family val="2"/>
        <scheme val="minor"/>
      </rPr>
      <t>Viss Nei, gå til steg 3.6.</t>
    </r>
  </si>
  <si>
    <r>
      <t xml:space="preserve">Er informasjonen/innhaldet som blir formidla i videoen i samsvar med informasjon som blir formidla i teksten? 
</t>
    </r>
    <r>
      <rPr>
        <b/>
        <sz val="11"/>
        <color rgb="FFFF0000"/>
        <rFont val="Calibri"/>
        <family val="2"/>
        <scheme val="minor"/>
      </rPr>
      <t xml:space="preserve">
Viss Ja, gå til steg 3.14 for å skrive inn kommentar.</t>
    </r>
  </si>
  <si>
    <r>
      <t xml:space="preserve">Finst det ein mekanisme (lenke, knapp eller liknande) nær videoen som tilseier at du vert leia til eit tekstalternativ til videoen?
</t>
    </r>
    <r>
      <rPr>
        <b/>
        <sz val="11"/>
        <color rgb="FFFF0000"/>
        <rFont val="Calibri"/>
        <family val="2"/>
        <scheme val="minor"/>
      </rPr>
      <t>Viss Nei, gå til steg 3.10.</t>
    </r>
  </si>
  <si>
    <r>
      <t xml:space="preserve">Er tekstalternativet koda som tekst?
</t>
    </r>
    <r>
      <rPr>
        <b/>
        <sz val="11"/>
        <color rgb="FFFF0000"/>
        <rFont val="Calibri"/>
        <family val="2"/>
        <scheme val="minor"/>
      </rPr>
      <t>Viss Nei, gå til steg 3.10.</t>
    </r>
  </si>
  <si>
    <r>
      <t xml:space="preserve">Er informasjonen/innhaldet som blir formidla i videoen i samsvar med informasjon som blir formidla i teksten? 
</t>
    </r>
    <r>
      <rPr>
        <b/>
        <sz val="11"/>
        <color rgb="FFFF0000"/>
        <rFont val="Calibri"/>
        <family val="2"/>
        <scheme val="minor"/>
      </rPr>
      <t xml:space="preserve">Viss Ja, gå til steg 3.14 for å skrive inn kommentar.
</t>
    </r>
  </si>
  <si>
    <r>
      <t xml:space="preserve">Finst det ein mekanisme (lenke, knapp eller liknande) nær videoen som tilseier at du vert leia til eit mediealternativ (lydklipp/lydfil) til videoen?
</t>
    </r>
    <r>
      <rPr>
        <b/>
        <sz val="11"/>
        <color rgb="FFFF0000"/>
        <rFont val="Calibri"/>
        <family val="2"/>
        <scheme val="minor"/>
      </rPr>
      <t xml:space="preserve">
Viss Nei, gå til steg 3.14 for å skrive inn kommentar.</t>
    </r>
  </si>
  <si>
    <r>
      <t xml:space="preserve">Får du til å spele av lydklippet ? 
</t>
    </r>
    <r>
      <rPr>
        <b/>
        <sz val="11"/>
        <color rgb="FFFF0000"/>
        <rFont val="Calibri"/>
        <family val="2"/>
        <scheme val="minor"/>
      </rPr>
      <t xml:space="preserve">
Viss Nei, gå til steg 3.14 for å skrive inn kommentar.</t>
    </r>
  </si>
  <si>
    <t>Eventuelt: 
Legg til kommentar som utdjupar testresultat eller liknande.
Trykk på knappen "Legg til data".</t>
  </si>
  <si>
    <t>Sist oppdatert av Difi</t>
  </si>
  <si>
    <t>Utfall (oppsummering av observasjon)</t>
  </si>
  <si>
    <r>
      <rPr>
        <b/>
        <sz val="11"/>
        <color theme="1"/>
        <rFont val="Calibri"/>
        <family val="2"/>
        <scheme val="minor"/>
      </rPr>
      <t xml:space="preserve">Krav til samsvar:
</t>
    </r>
    <r>
      <rPr>
        <sz val="11"/>
        <color theme="1"/>
        <rFont val="Calibri"/>
        <family val="2"/>
        <scheme val="minor"/>
      </rPr>
      <t>Kravet kan oppfyllast på fleire måtar. Førehandsinnspelt video utan lyd, som ikkje er eit mediealternativ til tekst eller lyd, har alternativ i form av tekst eller eit mediealternativ i form av lyd.
Alternativ i form av tekst eller lyd er:
- visuelt plassert nær videoklippet, eller kan nåast via ein mekanisme (lenke, knapp eller liknande) nær videoklippet 
- formidlar det same hovudinnhaldet som videoklippet, i same rekkefølge
Alternativ i form av lyd skal i tillegg:
- vere mogleg å spele av 
Alternativ i form av tekst skal i tillegg:
- vere koda som tekst
Det er ikkje krav om eksakt attgjeving av innhaldet, men at alt vesentleg innhald er teke med i rett rekkefølge.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</si>
</sst>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b/>
      <sz val="11"/>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7">
    <border>
      <left/>
      <right/>
      <top/>
      <bottom/>
      <diagonal/>
    </border>
    <border>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9847407452621"/>
      </left>
      <right style="thin">
        <color theme="0" tint="-0.14999847407452621"/>
      </right>
      <top/>
      <bottom/>
      <diagonal/>
    </border>
    <border>
      <left style="thin">
        <color theme="1"/>
      </left>
      <right style="thin">
        <color theme="1"/>
      </right>
      <top style="thin">
        <color theme="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2">
    <xf numFmtId="0" fontId="0" fillId="0" borderId="0" xfId="0"/>
    <xf numFmtId="0" fontId="0" fillId="0" borderId="0" xfId="0" applyAlignment="1">
      <alignment vertical="center"/>
    </xf>
    <xf numFmtId="0" fontId="0" fillId="0" borderId="4"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4"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7" borderId="0" xfId="0" applyFont="1" applyFill="1" applyBorder="1" applyAlignment="1">
      <alignment vertical="center" wrapText="1"/>
    </xf>
    <xf numFmtId="0" fontId="0" fillId="4" borderId="0" xfId="0" applyFill="1" applyAlignment="1">
      <alignment vertical="center"/>
    </xf>
    <xf numFmtId="0" fontId="0" fillId="7" borderId="0" xfId="0" applyFill="1" applyAlignment="1">
      <alignment vertical="center"/>
    </xf>
    <xf numFmtId="0" fontId="7" fillId="7" borderId="0" xfId="0" applyFont="1"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0" fontId="0" fillId="0" borderId="0" xfId="0" applyAlignment="1">
      <alignment horizontal="center"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2"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0" borderId="2" xfId="0" applyBorder="1" applyAlignment="1">
      <alignment vertical="center"/>
    </xf>
    <xf numFmtId="0" fontId="0" fillId="0" borderId="2" xfId="0" applyBorder="1" applyAlignment="1">
      <alignment horizontal="center" vertical="center"/>
    </xf>
    <xf numFmtId="0" fontId="0" fillId="5" borderId="0" xfId="0" applyFill="1" applyBorder="1" applyAlignment="1">
      <alignment horizontal="left" vertical="center"/>
    </xf>
    <xf numFmtId="0" fontId="9" fillId="0" borderId="5" xfId="0" applyFont="1" applyBorder="1"/>
    <xf numFmtId="0" fontId="10" fillId="0" borderId="5" xfId="0" applyFont="1" applyBorder="1" applyAlignment="1"/>
    <xf numFmtId="0" fontId="0" fillId="0" borderId="0" xfId="0" applyFill="1" applyAlignment="1">
      <alignment vertical="center"/>
    </xf>
    <xf numFmtId="0" fontId="0" fillId="7" borderId="0" xfId="0" applyFill="1"/>
    <xf numFmtId="0" fontId="0" fillId="0" borderId="6" xfId="0" applyBorder="1"/>
    <xf numFmtId="49" fontId="0" fillId="7" borderId="0" xfId="0" applyNumberFormat="1" applyFill="1" applyAlignment="1">
      <alignment horizontal="left" vertical="center" wrapText="1"/>
    </xf>
    <xf numFmtId="0" fontId="10" fillId="0" borderId="8" xfId="0" applyFont="1" applyBorder="1" applyAlignment="1"/>
    <xf numFmtId="0" fontId="10" fillId="0" borderId="0" xfId="0" applyFont="1" applyBorder="1" applyAlignment="1"/>
    <xf numFmtId="0" fontId="10" fillId="0" borderId="4" xfId="0" applyFont="1" applyBorder="1" applyAlignment="1"/>
    <xf numFmtId="0" fontId="0" fillId="0" borderId="4" xfId="0" applyBorder="1" applyAlignment="1">
      <alignment wrapText="1"/>
    </xf>
    <xf numFmtId="0" fontId="13" fillId="9" borderId="0" xfId="0" applyFont="1" applyFill="1"/>
    <xf numFmtId="0" fontId="2" fillId="3" borderId="0" xfId="0" applyFont="1" applyFill="1" applyBorder="1" applyAlignment="1">
      <alignment horizontal="left" vertical="center"/>
    </xf>
    <xf numFmtId="0" fontId="2" fillId="3" borderId="1" xfId="0" applyFont="1" applyFill="1" applyBorder="1" applyAlignment="1">
      <alignment horizontal="left" vertical="center"/>
    </xf>
    <xf numFmtId="49" fontId="0" fillId="7" borderId="0" xfId="0" applyNumberFormat="1" applyFont="1" applyFill="1" applyAlignment="1">
      <alignment horizontal="left" vertical="center"/>
    </xf>
    <xf numFmtId="49" fontId="0" fillId="7" borderId="0" xfId="0" applyNumberFormat="1" applyFill="1" applyAlignment="1">
      <alignment horizontal="left" vertical="center"/>
    </xf>
    <xf numFmtId="0" fontId="2" fillId="3" borderId="0" xfId="0" applyFont="1" applyFill="1" applyBorder="1" applyAlignment="1">
      <alignment vertical="center" wrapText="1"/>
    </xf>
    <xf numFmtId="0" fontId="0" fillId="4" borderId="0" xfId="0" applyFill="1" applyAlignment="1">
      <alignment vertical="center" wrapText="1"/>
    </xf>
    <xf numFmtId="0" fontId="0" fillId="7" borderId="0" xfId="0" applyFill="1" applyAlignment="1">
      <alignment vertical="center" wrapText="1"/>
    </xf>
    <xf numFmtId="49" fontId="0" fillId="7" borderId="0" xfId="0" applyNumberFormat="1" applyFill="1" applyAlignment="1">
      <alignment horizontal="center" vertical="center" wrapText="1"/>
    </xf>
    <xf numFmtId="0" fontId="0" fillId="6" borderId="9" xfId="0" applyFill="1" applyBorder="1" applyAlignment="1">
      <alignment horizontal="center" vertical="center" wrapText="1"/>
    </xf>
    <xf numFmtId="0" fontId="0" fillId="0" borderId="0" xfId="0" applyAlignment="1">
      <alignment vertical="center" wrapText="1"/>
    </xf>
    <xf numFmtId="1" fontId="0" fillId="0" borderId="0" xfId="0" applyNumberFormat="1"/>
    <xf numFmtId="0" fontId="0" fillId="10" borderId="0" xfId="0" applyFill="1"/>
    <xf numFmtId="0" fontId="0" fillId="0" borderId="0" xfId="0" applyFont="1" applyAlignment="1">
      <alignment vertical="center"/>
    </xf>
    <xf numFmtId="0" fontId="0" fillId="7" borderId="0" xfId="0" applyFill="1" applyAlignment="1">
      <alignment horizontal="left" vertical="center"/>
    </xf>
    <xf numFmtId="0" fontId="0" fillId="4" borderId="0" xfId="0" applyFill="1" applyAlignment="1">
      <alignment horizontal="left" vertical="center"/>
    </xf>
    <xf numFmtId="0" fontId="0" fillId="0" borderId="2" xfId="0" applyBorder="1" applyAlignment="1">
      <alignment horizontal="left" vertical="center"/>
    </xf>
    <xf numFmtId="0" fontId="0" fillId="0" borderId="0" xfId="0" applyAlignment="1">
      <alignment horizontal="left" vertical="center"/>
    </xf>
    <xf numFmtId="49" fontId="0" fillId="5" borderId="9" xfId="0" applyNumberFormat="1" applyFill="1" applyBorder="1" applyAlignment="1">
      <alignment horizontal="center" vertical="center"/>
    </xf>
    <xf numFmtId="0" fontId="0" fillId="5" borderId="9" xfId="0" applyFill="1" applyBorder="1" applyAlignment="1">
      <alignment vertical="center" wrapText="1"/>
    </xf>
    <xf numFmtId="49" fontId="0" fillId="7" borderId="7" xfId="0" applyNumberFormat="1" applyFill="1" applyBorder="1" applyAlignment="1">
      <alignment horizontal="left" vertical="center"/>
    </xf>
    <xf numFmtId="0" fontId="0" fillId="5" borderId="9" xfId="0" applyFill="1" applyBorder="1" applyAlignment="1">
      <alignment vertical="center"/>
    </xf>
    <xf numFmtId="0" fontId="3" fillId="5" borderId="0" xfId="0" applyFont="1" applyFill="1" applyAlignment="1">
      <alignment horizontal="left" vertical="center"/>
    </xf>
    <xf numFmtId="0" fontId="2" fillId="3" borderId="0" xfId="0" applyFont="1" applyFill="1" applyBorder="1" applyAlignment="1">
      <alignment horizontal="left" vertical="center" wrapText="1"/>
    </xf>
    <xf numFmtId="0" fontId="7" fillId="7" borderId="0" xfId="0" applyFont="1" applyFill="1" applyAlignment="1">
      <alignment horizontal="left" vertical="center"/>
    </xf>
    <xf numFmtId="0" fontId="0" fillId="7" borderId="0" xfId="0" applyFill="1" applyAlignment="1">
      <alignment horizontal="center" vertical="center"/>
    </xf>
    <xf numFmtId="0" fontId="0" fillId="5" borderId="0" xfId="0" applyFill="1" applyAlignment="1">
      <alignment vertical="center"/>
    </xf>
    <xf numFmtId="49" fontId="2" fillId="3" borderId="0" xfId="0" applyNumberFormat="1" applyFont="1" applyFill="1" applyBorder="1" applyAlignment="1">
      <alignment horizontal="center" vertical="center" wrapText="1"/>
    </xf>
    <xf numFmtId="1" fontId="0" fillId="0" borderId="2" xfId="0" applyNumberFormat="1" applyBorder="1" applyAlignment="1">
      <alignment horizontal="left" vertical="center"/>
    </xf>
    <xf numFmtId="0" fontId="0" fillId="6" borderId="3" xfId="0" applyFill="1" applyBorder="1" applyAlignment="1">
      <alignment vertical="center"/>
    </xf>
    <xf numFmtId="0" fontId="0" fillId="0" borderId="3" xfId="0" applyBorder="1" applyAlignment="1">
      <alignment horizontal="center" vertical="center"/>
    </xf>
    <xf numFmtId="49" fontId="0" fillId="0" borderId="2" xfId="0" applyNumberFormat="1" applyBorder="1" applyAlignment="1">
      <alignment horizontal="center" vertical="center"/>
    </xf>
    <xf numFmtId="0" fontId="0" fillId="6" borderId="2" xfId="0" applyFill="1" applyBorder="1" applyAlignment="1">
      <alignment horizontal="left" vertical="center"/>
    </xf>
    <xf numFmtId="0" fontId="15" fillId="4" borderId="0" xfId="0" applyFont="1" applyFill="1" applyAlignment="1">
      <alignment vertical="center"/>
    </xf>
    <xf numFmtId="0" fontId="16" fillId="4" borderId="0" xfId="0" applyFont="1" applyFill="1" applyAlignment="1">
      <alignment vertical="center"/>
    </xf>
    <xf numFmtId="0" fontId="16" fillId="4" borderId="0" xfId="0" applyFont="1" applyFill="1" applyAlignment="1">
      <alignment vertical="center" wrapText="1"/>
    </xf>
    <xf numFmtId="0" fontId="16" fillId="4" borderId="0" xfId="0" applyFont="1" applyFill="1" applyAlignment="1">
      <alignment horizontal="left" vertical="center"/>
    </xf>
    <xf numFmtId="0" fontId="16" fillId="0" borderId="0" xfId="0" applyFont="1" applyAlignment="1">
      <alignment vertical="center"/>
    </xf>
    <xf numFmtId="0" fontId="9" fillId="0" borderId="5" xfId="0" applyFont="1" applyBorder="1" applyAlignment="1">
      <alignment vertical="top" wrapText="1"/>
    </xf>
    <xf numFmtId="0" fontId="10" fillId="0" borderId="5" xfId="0" applyFont="1" applyBorder="1"/>
    <xf numFmtId="0" fontId="9" fillId="0" borderId="10" xfId="0" applyFont="1" applyBorder="1" applyAlignment="1">
      <alignment vertical="top"/>
    </xf>
    <xf numFmtId="0" fontId="8" fillId="8" borderId="4" xfId="0" applyFont="1" applyFill="1" applyBorder="1"/>
    <xf numFmtId="0" fontId="9" fillId="0" borderId="4" xfId="0" applyFont="1" applyBorder="1" applyAlignment="1">
      <alignment vertical="top" wrapText="1"/>
    </xf>
    <xf numFmtId="0" fontId="9" fillId="0" borderId="0" xfId="0" applyFont="1" applyFill="1" applyBorder="1" applyAlignment="1">
      <alignment vertical="top"/>
    </xf>
    <xf numFmtId="0" fontId="0" fillId="0" borderId="0" xfId="0" applyFill="1"/>
    <xf numFmtId="0" fontId="0" fillId="0" borderId="4" xfId="0" applyFill="1" applyBorder="1" applyAlignment="1">
      <alignment vertical="center" wrapText="1"/>
    </xf>
    <xf numFmtId="0" fontId="0" fillId="0" borderId="4" xfId="0" applyBorder="1" applyAlignment="1">
      <alignment vertical="top"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xf>
    <xf numFmtId="0" fontId="0" fillId="7" borderId="0" xfId="0" applyFont="1" applyFill="1" applyBorder="1" applyAlignment="1">
      <alignment vertical="top" wrapText="1"/>
    </xf>
    <xf numFmtId="0" fontId="0" fillId="5" borderId="4" xfId="0" applyFill="1" applyBorder="1"/>
    <xf numFmtId="0" fontId="0" fillId="0" borderId="4" xfId="0" applyFill="1" applyBorder="1" applyAlignment="1">
      <alignment vertical="top" wrapText="1"/>
    </xf>
    <xf numFmtId="0" fontId="10" fillId="0" borderId="5" xfId="0" applyFont="1" applyBorder="1" applyAlignment="1">
      <alignment wrapText="1"/>
    </xf>
    <xf numFmtId="0" fontId="0" fillId="5" borderId="0" xfId="0" applyFill="1"/>
    <xf numFmtId="0" fontId="0" fillId="7" borderId="0" xfId="0" applyFill="1" applyBorder="1" applyAlignment="1">
      <alignment horizontal="left" vertical="center"/>
    </xf>
    <xf numFmtId="0" fontId="4" fillId="5" borderId="9" xfId="0" applyFont="1" applyFill="1" applyBorder="1" applyAlignment="1">
      <alignment horizontal="center" vertical="center" wrapText="1"/>
    </xf>
    <xf numFmtId="0" fontId="0" fillId="5" borderId="9" xfId="0" applyFill="1" applyBorder="1" applyAlignment="1">
      <alignment horizontal="center" vertical="center"/>
    </xf>
    <xf numFmtId="0" fontId="0" fillId="5" borderId="9" xfId="0" applyFill="1" applyBorder="1" applyAlignment="1">
      <alignment horizontal="center" vertical="center" wrapText="1"/>
    </xf>
    <xf numFmtId="49" fontId="0" fillId="6" borderId="9" xfId="0" applyNumberFormat="1" applyFill="1" applyBorder="1" applyAlignment="1">
      <alignment horizontal="center" vertical="center" wrapText="1"/>
    </xf>
    <xf numFmtId="49" fontId="0" fillId="7" borderId="16" xfId="0" applyNumberFormat="1" applyFill="1" applyBorder="1" applyAlignment="1">
      <alignment horizontal="left" vertical="center"/>
    </xf>
    <xf numFmtId="49" fontId="0" fillId="7" borderId="16" xfId="0" applyNumberFormat="1" applyFill="1" applyBorder="1" applyAlignment="1">
      <alignment horizontal="left" vertical="center" wrapText="1"/>
    </xf>
    <xf numFmtId="49" fontId="0" fillId="7" borderId="16" xfId="0" applyNumberFormat="1" applyFill="1" applyBorder="1" applyAlignment="1">
      <alignment horizontal="center" vertical="center"/>
    </xf>
    <xf numFmtId="49" fontId="0" fillId="7" borderId="16" xfId="0" applyNumberFormat="1" applyFill="1" applyBorder="1" applyAlignment="1">
      <alignment horizontal="center" vertical="center" wrapText="1"/>
    </xf>
    <xf numFmtId="49" fontId="0" fillId="7" borderId="16" xfId="0" applyNumberFormat="1" applyFont="1" applyFill="1" applyBorder="1" applyAlignment="1">
      <alignment horizontal="left" vertical="center"/>
    </xf>
    <xf numFmtId="0" fontId="0" fillId="7" borderId="16" xfId="0" applyFont="1" applyFill="1" applyBorder="1" applyAlignment="1">
      <alignment vertical="center"/>
    </xf>
    <xf numFmtId="49" fontId="0" fillId="7" borderId="16" xfId="0" applyNumberFormat="1" applyFont="1" applyFill="1" applyBorder="1" applyAlignment="1">
      <alignment horizontal="center" vertical="center"/>
    </xf>
    <xf numFmtId="49" fontId="0" fillId="7" borderId="16" xfId="0" applyNumberFormat="1" applyFont="1" applyFill="1" applyBorder="1" applyAlignment="1">
      <alignment horizontal="center" vertical="center" wrapText="1"/>
    </xf>
    <xf numFmtId="49" fontId="0" fillId="5" borderId="15" xfId="0" applyNumberFormat="1" applyFill="1"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vertical="center" wrapText="1"/>
    </xf>
    <xf numFmtId="0" fontId="5" fillId="0" borderId="15" xfId="2" applyBorder="1" applyAlignment="1">
      <alignment horizontal="center" wrapText="1"/>
    </xf>
    <xf numFmtId="0" fontId="0" fillId="5" borderId="15" xfId="0" applyFill="1" applyBorder="1" applyAlignment="1">
      <alignment horizontal="center" vertical="center"/>
    </xf>
    <xf numFmtId="0" fontId="0" fillId="0" borderId="15" xfId="0" applyBorder="1" applyAlignment="1">
      <alignment horizontal="center" wrapText="1"/>
    </xf>
    <xf numFmtId="0" fontId="0" fillId="6" borderId="15" xfId="0" applyFill="1" applyBorder="1" applyAlignment="1">
      <alignment horizontal="center" vertical="center" wrapText="1"/>
    </xf>
    <xf numFmtId="0" fontId="0" fillId="5" borderId="15" xfId="0" applyFill="1" applyBorder="1" applyAlignment="1">
      <alignment horizontal="center" vertical="center" wrapText="1"/>
    </xf>
    <xf numFmtId="0" fontId="4" fillId="0" borderId="15" xfId="1" applyFont="1" applyFill="1" applyBorder="1" applyAlignment="1">
      <alignment horizontal="center" vertical="center" wrapText="1"/>
    </xf>
    <xf numFmtId="0" fontId="4" fillId="5" borderId="15" xfId="2" applyFont="1" applyFill="1" applyBorder="1" applyAlignment="1">
      <alignment horizontal="center" vertical="center" wrapText="1"/>
    </xf>
    <xf numFmtId="0" fontId="4" fillId="5" borderId="15" xfId="0" applyFont="1" applyFill="1" applyBorder="1" applyAlignment="1">
      <alignment horizontal="center" vertical="center" wrapText="1"/>
    </xf>
    <xf numFmtId="0" fontId="5" fillId="5" borderId="15" xfId="2" applyFill="1" applyBorder="1" applyAlignment="1">
      <alignment horizontal="center" vertical="center"/>
    </xf>
    <xf numFmtId="0" fontId="12" fillId="5" borderId="15" xfId="0" applyFont="1" applyFill="1" applyBorder="1" applyAlignment="1">
      <alignment horizontal="left" vertical="center" wrapText="1"/>
    </xf>
    <xf numFmtId="0" fontId="4" fillId="0" borderId="15" xfId="0" applyFont="1" applyFill="1" applyBorder="1" applyAlignment="1">
      <alignment vertical="center" wrapText="1"/>
    </xf>
    <xf numFmtId="0" fontId="17" fillId="4" borderId="14" xfId="0" applyFont="1" applyFill="1" applyBorder="1"/>
    <xf numFmtId="0" fontId="0" fillId="7" borderId="0" xfId="0" applyFill="1" applyAlignment="1">
      <alignment vertical="top"/>
    </xf>
    <xf numFmtId="14" fontId="0" fillId="7" borderId="0" xfId="0" applyNumberFormat="1" applyFill="1" applyAlignment="1">
      <alignment horizontal="left" vertical="top"/>
    </xf>
    <xf numFmtId="0" fontId="0" fillId="7" borderId="0" xfId="0" applyFill="1" applyBorder="1" applyAlignment="1">
      <alignment vertical="top"/>
    </xf>
    <xf numFmtId="0" fontId="0" fillId="0" borderId="0" xfId="0" applyAlignment="1">
      <alignment vertical="top"/>
    </xf>
    <xf numFmtId="0" fontId="17" fillId="4" borderId="11" xfId="0" applyFont="1" applyFill="1" applyBorder="1" applyAlignment="1">
      <alignment horizontal="left"/>
    </xf>
    <xf numFmtId="0" fontId="17" fillId="4" borderId="12" xfId="0" applyFont="1" applyFill="1" applyBorder="1" applyAlignment="1">
      <alignment horizontal="left"/>
    </xf>
    <xf numFmtId="0" fontId="17" fillId="4" borderId="13" xfId="0" applyFont="1" applyFill="1" applyBorder="1" applyAlignment="1">
      <alignment horizontal="left"/>
    </xf>
    <xf numFmtId="0" fontId="17" fillId="4" borderId="11" xfId="0" applyFont="1" applyFill="1" applyBorder="1" applyAlignment="1">
      <alignment horizontal="center"/>
    </xf>
    <xf numFmtId="0" fontId="17" fillId="4" borderId="12" xfId="0" applyFont="1" applyFill="1" applyBorder="1" applyAlignment="1">
      <alignment horizontal="center"/>
    </xf>
    <xf numFmtId="0" fontId="17" fillId="4" borderId="13" xfId="0" applyFont="1" applyFill="1" applyBorder="1" applyAlignment="1">
      <alignment horizontal="center"/>
    </xf>
  </cellXfs>
  <cellStyles count="3">
    <cellStyle name="God" xfId="1" builtinId="26"/>
    <cellStyle name="Hyperkobling" xfId="2" builtinId="8"/>
    <cellStyle name="Normal" xfId="0" builtinId="0"/>
  </cellStyles>
  <dxfs count="2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C64673"/>
      <color rgb="FFD2E5E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3324225</xdr:colOff>
          <xdr:row>34</xdr:row>
          <xdr:rowOff>38100</xdr:rowOff>
        </xdr:from>
        <xdr:to>
          <xdr:col>4</xdr:col>
          <xdr:colOff>19050</xdr:colOff>
          <xdr:row>34</xdr:row>
          <xdr:rowOff>361950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76200</xdr:colOff>
      <xdr:row>1</xdr:row>
      <xdr:rowOff>323850</xdr:rowOff>
    </xdr:from>
    <xdr:to>
      <xdr:col>4</xdr:col>
      <xdr:colOff>962025</xdr:colOff>
      <xdr:row>1</xdr:row>
      <xdr:rowOff>819150</xdr:rowOff>
    </xdr:to>
    <xdr:pic>
      <xdr:nvPicPr>
        <xdr:cNvPr id="3" name="Bilde 2" descr="Difi-logo">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050" y="704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39350" y="8763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33</xdr:row>
      <xdr:rowOff>0</xdr:rowOff>
    </xdr:from>
    <xdr:to>
      <xdr:col>0</xdr:col>
      <xdr:colOff>1924050</xdr:colOff>
      <xdr:row>35</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983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409575</xdr:colOff>
      <xdr:row>0</xdr:row>
      <xdr:rowOff>180975</xdr:rowOff>
    </xdr:from>
    <xdr:to>
      <xdr:col>2</xdr:col>
      <xdr:colOff>2333625</xdr:colOff>
      <xdr:row>2</xdr:row>
      <xdr:rowOff>47625</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58075" y="1809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162"/>
  <sheetViews>
    <sheetView showGridLines="0" tabSelected="1" zoomScaleNormal="100" workbookViewId="0"/>
  </sheetViews>
  <sheetFormatPr baseColWidth="10" defaultColWidth="11.5703125" defaultRowHeight="15" x14ac:dyDescent="0.25"/>
  <cols>
    <col min="1" max="1" width="6.5703125" style="1" customWidth="1"/>
    <col min="2" max="3" width="50.5703125" style="1" customWidth="1"/>
    <col min="4" max="4" width="15.5703125" style="50" customWidth="1"/>
    <col min="5" max="5" width="15.5703125" style="57" customWidth="1"/>
    <col min="6" max="16384" width="11.5703125" style="1"/>
  </cols>
  <sheetData>
    <row r="1" spans="1:5" s="77" customFormat="1" ht="30" customHeight="1" x14ac:dyDescent="0.25">
      <c r="A1" s="73" t="s">
        <v>142</v>
      </c>
      <c r="B1" s="74"/>
      <c r="C1" s="74"/>
      <c r="D1" s="75"/>
      <c r="E1" s="76"/>
    </row>
    <row r="2" spans="1:5" s="125" customFormat="1" ht="330" x14ac:dyDescent="0.25">
      <c r="A2" s="124" t="s">
        <v>8</v>
      </c>
      <c r="B2" s="89" t="s">
        <v>16</v>
      </c>
      <c r="C2" s="89" t="s">
        <v>163</v>
      </c>
      <c r="D2" s="122" t="s">
        <v>161</v>
      </c>
      <c r="E2" s="123">
        <v>42990</v>
      </c>
    </row>
    <row r="3" spans="1:5" ht="30" customHeight="1" x14ac:dyDescent="0.25">
      <c r="A3" s="17" t="s">
        <v>3</v>
      </c>
      <c r="B3" s="16"/>
      <c r="C3" s="16"/>
      <c r="D3" s="47"/>
      <c r="E3" s="54"/>
    </row>
    <row r="4" spans="1:5" ht="30" customHeight="1" x14ac:dyDescent="0.25">
      <c r="A4" s="41" t="s">
        <v>138</v>
      </c>
      <c r="B4" s="18" t="s">
        <v>21</v>
      </c>
      <c r="C4" s="18" t="s">
        <v>18</v>
      </c>
      <c r="D4" s="45" t="s">
        <v>7</v>
      </c>
      <c r="E4" s="42" t="s">
        <v>49</v>
      </c>
    </row>
    <row r="5" spans="1:5" ht="30" customHeight="1" x14ac:dyDescent="0.25">
      <c r="A5" s="58" t="s">
        <v>1</v>
      </c>
      <c r="B5" s="61" t="s">
        <v>20</v>
      </c>
      <c r="C5" s="61"/>
      <c r="D5" s="59"/>
      <c r="E5" s="95"/>
    </row>
    <row r="6" spans="1:5" ht="180" x14ac:dyDescent="0.25">
      <c r="A6" s="58" t="s">
        <v>2</v>
      </c>
      <c r="B6" s="59" t="s">
        <v>88</v>
      </c>
      <c r="C6" s="59" t="s">
        <v>83</v>
      </c>
      <c r="D6" s="59"/>
      <c r="E6" s="95"/>
    </row>
    <row r="7" spans="1:5" ht="45" x14ac:dyDescent="0.25">
      <c r="A7" s="58" t="s">
        <v>17</v>
      </c>
      <c r="B7" s="59" t="s">
        <v>148</v>
      </c>
      <c r="C7" s="59"/>
      <c r="D7" s="49"/>
      <c r="E7" s="96"/>
    </row>
    <row r="8" spans="1:5" ht="30" customHeight="1" x14ac:dyDescent="0.25">
      <c r="A8" s="58" t="s">
        <v>77</v>
      </c>
      <c r="B8" s="61" t="s">
        <v>46</v>
      </c>
      <c r="C8" s="61" t="s">
        <v>43</v>
      </c>
      <c r="D8" s="49"/>
      <c r="E8" s="95"/>
    </row>
    <row r="9" spans="1:5" ht="30" customHeight="1" x14ac:dyDescent="0.25">
      <c r="A9" s="58" t="s">
        <v>141</v>
      </c>
      <c r="B9" s="59" t="s">
        <v>44</v>
      </c>
      <c r="C9" s="59" t="s">
        <v>45</v>
      </c>
      <c r="D9" s="98"/>
      <c r="E9" s="95"/>
    </row>
    <row r="10" spans="1:5" ht="30" customHeight="1" x14ac:dyDescent="0.25">
      <c r="A10" s="22" t="s">
        <v>143</v>
      </c>
      <c r="B10" s="16"/>
      <c r="C10" s="16"/>
      <c r="D10" s="47"/>
      <c r="E10" s="54"/>
    </row>
    <row r="11" spans="1:5" ht="30" customHeight="1" x14ac:dyDescent="0.25">
      <c r="A11" s="41" t="s">
        <v>138</v>
      </c>
      <c r="B11" s="18" t="s">
        <v>21</v>
      </c>
      <c r="C11" s="18" t="s">
        <v>18</v>
      </c>
      <c r="D11" s="45" t="s">
        <v>7</v>
      </c>
      <c r="E11" s="42" t="s">
        <v>49</v>
      </c>
    </row>
    <row r="12" spans="1:5" x14ac:dyDescent="0.25">
      <c r="A12" s="43" t="s">
        <v>51</v>
      </c>
      <c r="B12" s="21"/>
      <c r="C12" s="21"/>
      <c r="D12" s="48"/>
      <c r="E12" s="44"/>
    </row>
    <row r="13" spans="1:5" ht="108.95" customHeight="1" x14ac:dyDescent="0.25">
      <c r="A13" s="58" t="s">
        <v>47</v>
      </c>
      <c r="B13" s="59" t="s">
        <v>149</v>
      </c>
      <c r="C13" s="59" t="s">
        <v>55</v>
      </c>
      <c r="D13" s="49"/>
      <c r="E13" s="95"/>
    </row>
    <row r="14" spans="1:5" ht="150" x14ac:dyDescent="0.25">
      <c r="A14" s="58" t="s">
        <v>139</v>
      </c>
      <c r="B14" s="59" t="s">
        <v>150</v>
      </c>
      <c r="C14" s="59" t="s">
        <v>144</v>
      </c>
      <c r="D14" s="49"/>
      <c r="E14" s="96"/>
    </row>
    <row r="15" spans="1:5" ht="225" x14ac:dyDescent="0.25">
      <c r="A15" s="58" t="s">
        <v>140</v>
      </c>
      <c r="B15" s="59" t="s">
        <v>151</v>
      </c>
      <c r="C15" s="59" t="s">
        <v>145</v>
      </c>
      <c r="D15" s="49"/>
      <c r="E15" s="97"/>
    </row>
    <row r="16" spans="1:5" ht="30" customHeight="1" x14ac:dyDescent="0.25">
      <c r="A16" s="22" t="s">
        <v>72</v>
      </c>
      <c r="B16" s="16"/>
      <c r="C16" s="16"/>
      <c r="D16" s="47"/>
      <c r="E16" s="54"/>
    </row>
    <row r="17" spans="1:5" ht="30" customHeight="1" x14ac:dyDescent="0.25">
      <c r="A17" s="41" t="s">
        <v>138</v>
      </c>
      <c r="B17" s="18" t="s">
        <v>21</v>
      </c>
      <c r="C17" s="18" t="s">
        <v>18</v>
      </c>
      <c r="D17" s="45" t="s">
        <v>7</v>
      </c>
      <c r="E17" s="42" t="s">
        <v>49</v>
      </c>
    </row>
    <row r="18" spans="1:5" s="32" customFormat="1" ht="30" customHeight="1" x14ac:dyDescent="0.25">
      <c r="A18" s="107" t="s">
        <v>31</v>
      </c>
      <c r="B18" s="108" t="s">
        <v>50</v>
      </c>
      <c r="C18" s="109" t="s">
        <v>54</v>
      </c>
      <c r="D18" s="110"/>
      <c r="E18" s="111"/>
    </row>
    <row r="19" spans="1:5" ht="32.1" customHeight="1" x14ac:dyDescent="0.25">
      <c r="A19" s="107" t="s">
        <v>32</v>
      </c>
      <c r="B19" s="109" t="s">
        <v>52</v>
      </c>
      <c r="C19" s="109" t="s">
        <v>53</v>
      </c>
      <c r="D19" s="112"/>
      <c r="E19" s="111"/>
    </row>
    <row r="20" spans="1:5" x14ac:dyDescent="0.25">
      <c r="A20" s="99" t="s">
        <v>57</v>
      </c>
      <c r="B20" s="100"/>
      <c r="C20" s="101"/>
      <c r="D20" s="102"/>
      <c r="E20" s="101"/>
    </row>
    <row r="21" spans="1:5" ht="150" x14ac:dyDescent="0.25">
      <c r="A21" s="107" t="s">
        <v>33</v>
      </c>
      <c r="B21" s="109" t="s">
        <v>152</v>
      </c>
      <c r="C21" s="109" t="s">
        <v>109</v>
      </c>
      <c r="D21" s="113"/>
      <c r="E21" s="111"/>
    </row>
    <row r="22" spans="1:5" ht="207.95" customHeight="1" x14ac:dyDescent="0.25">
      <c r="A22" s="107" t="s">
        <v>34</v>
      </c>
      <c r="B22" s="109" t="s">
        <v>153</v>
      </c>
      <c r="C22" s="109" t="s">
        <v>56</v>
      </c>
      <c r="D22" s="113"/>
      <c r="E22" s="114" t="s">
        <v>79</v>
      </c>
    </row>
    <row r="23" spans="1:5" ht="195" x14ac:dyDescent="0.25">
      <c r="A23" s="107" t="s">
        <v>35</v>
      </c>
      <c r="B23" s="109" t="s">
        <v>154</v>
      </c>
      <c r="C23" s="109" t="s">
        <v>146</v>
      </c>
      <c r="D23" s="113"/>
      <c r="E23" s="114" t="s">
        <v>78</v>
      </c>
    </row>
    <row r="24" spans="1:5" s="53" customFormat="1" x14ac:dyDescent="0.25">
      <c r="A24" s="103" t="s">
        <v>63</v>
      </c>
      <c r="B24" s="104"/>
      <c r="C24" s="105"/>
      <c r="D24" s="106"/>
      <c r="E24" s="105"/>
    </row>
    <row r="25" spans="1:5" ht="90" x14ac:dyDescent="0.25">
      <c r="A25" s="107" t="s">
        <v>36</v>
      </c>
      <c r="B25" s="109" t="s">
        <v>155</v>
      </c>
      <c r="C25" s="109" t="s">
        <v>110</v>
      </c>
      <c r="D25" s="113"/>
      <c r="E25" s="111"/>
    </row>
    <row r="26" spans="1:5" ht="120" x14ac:dyDescent="0.25">
      <c r="A26" s="107" t="s">
        <v>37</v>
      </c>
      <c r="B26" s="109" t="s">
        <v>107</v>
      </c>
      <c r="C26" s="109" t="s">
        <v>85</v>
      </c>
      <c r="D26" s="115"/>
      <c r="E26" s="111"/>
    </row>
    <row r="27" spans="1:5" ht="195" x14ac:dyDescent="0.25">
      <c r="A27" s="107" t="s">
        <v>38</v>
      </c>
      <c r="B27" s="109" t="s">
        <v>156</v>
      </c>
      <c r="C27" s="109" t="s">
        <v>56</v>
      </c>
      <c r="D27" s="113"/>
      <c r="E27" s="116" t="s">
        <v>79</v>
      </c>
    </row>
    <row r="28" spans="1:5" ht="195" x14ac:dyDescent="0.25">
      <c r="A28" s="107" t="s">
        <v>39</v>
      </c>
      <c r="B28" s="109" t="s">
        <v>157</v>
      </c>
      <c r="C28" s="109" t="s">
        <v>146</v>
      </c>
      <c r="D28" s="113"/>
      <c r="E28" s="114" t="s">
        <v>78</v>
      </c>
    </row>
    <row r="29" spans="1:5" s="32" customFormat="1" x14ac:dyDescent="0.25">
      <c r="A29" s="60" t="s">
        <v>81</v>
      </c>
      <c r="B29" s="35"/>
      <c r="C29" s="21"/>
      <c r="D29" s="48"/>
      <c r="E29" s="21"/>
    </row>
    <row r="30" spans="1:5" ht="210" x14ac:dyDescent="0.25">
      <c r="A30" s="107" t="s">
        <v>40</v>
      </c>
      <c r="B30" s="109" t="s">
        <v>158</v>
      </c>
      <c r="C30" s="109" t="s">
        <v>108</v>
      </c>
      <c r="D30" s="113"/>
      <c r="E30" s="117" t="s">
        <v>22</v>
      </c>
    </row>
    <row r="31" spans="1:5" ht="45" x14ac:dyDescent="0.25">
      <c r="A31" s="107" t="s">
        <v>41</v>
      </c>
      <c r="B31" s="109" t="s">
        <v>159</v>
      </c>
      <c r="C31" s="109" t="s">
        <v>80</v>
      </c>
      <c r="D31" s="113"/>
      <c r="E31" s="118"/>
    </row>
    <row r="32" spans="1:5" ht="120" x14ac:dyDescent="0.25">
      <c r="A32" s="107" t="s">
        <v>86</v>
      </c>
      <c r="B32" s="109" t="s">
        <v>111</v>
      </c>
      <c r="C32" s="109" t="s">
        <v>85</v>
      </c>
      <c r="D32" s="115"/>
      <c r="E32" s="111"/>
    </row>
    <row r="33" spans="1:5" ht="195" x14ac:dyDescent="0.25">
      <c r="A33" s="107" t="s">
        <v>87</v>
      </c>
      <c r="B33" s="109" t="s">
        <v>106</v>
      </c>
      <c r="C33" s="109" t="s">
        <v>147</v>
      </c>
      <c r="D33" s="113"/>
      <c r="E33" s="114" t="s">
        <v>22</v>
      </c>
    </row>
    <row r="34" spans="1:5" ht="75" x14ac:dyDescent="0.25">
      <c r="A34" s="107" t="s">
        <v>105</v>
      </c>
      <c r="B34" s="119" t="s">
        <v>160</v>
      </c>
      <c r="C34" s="109" t="s">
        <v>89</v>
      </c>
      <c r="D34" s="120"/>
      <c r="E34" s="117"/>
    </row>
    <row r="35" spans="1:5" ht="30" customHeight="1" x14ac:dyDescent="0.25">
      <c r="A35" s="22" t="s">
        <v>64</v>
      </c>
      <c r="B35" s="16"/>
      <c r="C35" s="16"/>
      <c r="D35" s="47"/>
      <c r="E35" s="54"/>
    </row>
    <row r="36" spans="1:5" ht="45" customHeight="1" x14ac:dyDescent="0.25"/>
    <row r="37" spans="1:5" ht="45" customHeight="1" x14ac:dyDescent="0.25"/>
    <row r="38" spans="1:5" ht="45" customHeight="1" x14ac:dyDescent="0.25"/>
    <row r="39" spans="1:5" ht="45" customHeight="1" x14ac:dyDescent="0.25"/>
    <row r="40" spans="1:5" ht="45" customHeight="1" x14ac:dyDescent="0.25"/>
    <row r="41" spans="1:5" ht="45" customHeight="1" x14ac:dyDescent="0.25"/>
    <row r="42" spans="1:5" ht="45" customHeight="1" x14ac:dyDescent="0.25"/>
    <row r="43" spans="1:5" ht="45" customHeight="1" x14ac:dyDescent="0.25"/>
    <row r="44" spans="1:5" ht="45" customHeight="1" x14ac:dyDescent="0.25"/>
    <row r="45" spans="1:5" ht="45" customHeight="1" x14ac:dyDescent="0.25"/>
    <row r="46" spans="1:5" ht="45" customHeight="1" x14ac:dyDescent="0.25"/>
    <row r="47" spans="1:5" ht="45" customHeight="1" x14ac:dyDescent="0.25"/>
    <row r="48" spans="1:5" ht="45" customHeight="1" x14ac:dyDescent="0.25"/>
    <row r="49" ht="45" customHeight="1" x14ac:dyDescent="0.25"/>
    <row r="50" ht="45" customHeight="1" x14ac:dyDescent="0.25"/>
    <row r="51" ht="45" customHeight="1" x14ac:dyDescent="0.25"/>
    <row r="52" ht="45" customHeight="1" x14ac:dyDescent="0.25"/>
    <row r="53" ht="45" customHeight="1" x14ac:dyDescent="0.25"/>
    <row r="54" ht="45" customHeight="1" x14ac:dyDescent="0.25"/>
    <row r="55" ht="45" customHeight="1" x14ac:dyDescent="0.25"/>
    <row r="56" ht="45" customHeight="1" x14ac:dyDescent="0.25"/>
    <row r="57" ht="45" customHeight="1" x14ac:dyDescent="0.25"/>
    <row r="58" ht="45" customHeight="1" x14ac:dyDescent="0.25"/>
    <row r="59" ht="45" customHeight="1" x14ac:dyDescent="0.25"/>
    <row r="60" ht="45" customHeight="1" x14ac:dyDescent="0.25"/>
    <row r="61" ht="45" customHeight="1" x14ac:dyDescent="0.25"/>
    <row r="62" ht="45" customHeight="1" x14ac:dyDescent="0.25"/>
    <row r="63" ht="45" customHeight="1" x14ac:dyDescent="0.25"/>
    <row r="64" ht="45" customHeight="1" x14ac:dyDescent="0.25"/>
    <row r="65" ht="45" customHeight="1" x14ac:dyDescent="0.25"/>
    <row r="66" ht="45" customHeight="1" x14ac:dyDescent="0.25"/>
    <row r="67" ht="45" customHeight="1" x14ac:dyDescent="0.25"/>
    <row r="68" ht="45" customHeight="1" x14ac:dyDescent="0.25"/>
    <row r="69" ht="45" customHeight="1" x14ac:dyDescent="0.25"/>
    <row r="70" ht="45" customHeight="1" x14ac:dyDescent="0.25"/>
    <row r="71" ht="45" customHeight="1" x14ac:dyDescent="0.25"/>
    <row r="72" ht="45" customHeight="1" x14ac:dyDescent="0.25"/>
    <row r="73" ht="45" customHeight="1" x14ac:dyDescent="0.25"/>
    <row r="74" ht="45" customHeight="1" x14ac:dyDescent="0.25"/>
    <row r="75" ht="45" customHeight="1" x14ac:dyDescent="0.25"/>
    <row r="76" ht="45" customHeight="1" x14ac:dyDescent="0.25"/>
    <row r="77" ht="45" customHeight="1" x14ac:dyDescent="0.25"/>
    <row r="78" ht="45" customHeight="1" x14ac:dyDescent="0.25"/>
    <row r="79" ht="45" customHeight="1" x14ac:dyDescent="0.25"/>
    <row r="80" ht="45" customHeight="1" x14ac:dyDescent="0.25"/>
    <row r="81" ht="45" customHeight="1" x14ac:dyDescent="0.25"/>
    <row r="82" ht="45" customHeight="1" x14ac:dyDescent="0.25"/>
    <row r="83" ht="45" customHeight="1" x14ac:dyDescent="0.25"/>
    <row r="84" ht="45" customHeight="1" x14ac:dyDescent="0.25"/>
    <row r="85" ht="45" customHeight="1" x14ac:dyDescent="0.25"/>
    <row r="86" ht="45" customHeight="1" x14ac:dyDescent="0.25"/>
    <row r="87" ht="45" customHeight="1" x14ac:dyDescent="0.25"/>
    <row r="88" ht="45" customHeight="1" x14ac:dyDescent="0.25"/>
    <row r="89" ht="45" customHeight="1" x14ac:dyDescent="0.25"/>
    <row r="90" ht="45" customHeight="1" x14ac:dyDescent="0.25"/>
    <row r="91" ht="45" customHeight="1" x14ac:dyDescent="0.25"/>
    <row r="92" ht="45" customHeight="1" x14ac:dyDescent="0.25"/>
    <row r="93" ht="45" customHeight="1" x14ac:dyDescent="0.25"/>
    <row r="94" ht="45" customHeight="1" x14ac:dyDescent="0.25"/>
    <row r="95" ht="45" customHeight="1" x14ac:dyDescent="0.25"/>
    <row r="96" ht="45" customHeight="1" x14ac:dyDescent="0.25"/>
    <row r="97" ht="45" customHeight="1" x14ac:dyDescent="0.25"/>
    <row r="98" ht="45" customHeight="1" x14ac:dyDescent="0.25"/>
    <row r="99" ht="45" customHeight="1" x14ac:dyDescent="0.25"/>
    <row r="100" ht="45" customHeight="1" x14ac:dyDescent="0.25"/>
    <row r="101" ht="45" customHeight="1" x14ac:dyDescent="0.25"/>
    <row r="102" ht="45" customHeight="1" x14ac:dyDescent="0.25"/>
    <row r="103" ht="45" customHeight="1" x14ac:dyDescent="0.25"/>
    <row r="104" ht="45" customHeight="1" x14ac:dyDescent="0.25"/>
    <row r="105" ht="45" customHeight="1" x14ac:dyDescent="0.25"/>
    <row r="106" ht="45" customHeight="1" x14ac:dyDescent="0.25"/>
    <row r="107" ht="45" customHeight="1" x14ac:dyDescent="0.25"/>
    <row r="108" ht="45" customHeight="1" x14ac:dyDescent="0.25"/>
    <row r="109" ht="45" customHeight="1" x14ac:dyDescent="0.25"/>
    <row r="110" ht="45" customHeight="1" x14ac:dyDescent="0.25"/>
    <row r="111" ht="45" customHeight="1" x14ac:dyDescent="0.25"/>
    <row r="112" ht="45" customHeight="1" x14ac:dyDescent="0.25"/>
    <row r="113" ht="45" customHeight="1" x14ac:dyDescent="0.25"/>
    <row r="114" ht="45" customHeight="1" x14ac:dyDescent="0.25"/>
    <row r="115" ht="45" customHeight="1" x14ac:dyDescent="0.25"/>
    <row r="116" ht="45" customHeight="1" x14ac:dyDescent="0.25"/>
    <row r="117" ht="45" customHeight="1" x14ac:dyDescent="0.25"/>
    <row r="118" ht="45" customHeight="1" x14ac:dyDescent="0.25"/>
    <row r="119" ht="45" customHeight="1" x14ac:dyDescent="0.25"/>
    <row r="120" ht="45" customHeight="1" x14ac:dyDescent="0.25"/>
    <row r="121" ht="45" customHeight="1" x14ac:dyDescent="0.25"/>
    <row r="122" ht="45" customHeight="1" x14ac:dyDescent="0.25"/>
    <row r="123" ht="45" customHeight="1" x14ac:dyDescent="0.25"/>
    <row r="124" ht="45" customHeight="1" x14ac:dyDescent="0.25"/>
    <row r="125" ht="45" customHeight="1" x14ac:dyDescent="0.25"/>
    <row r="126" ht="45" customHeight="1" x14ac:dyDescent="0.25"/>
    <row r="127" ht="45" customHeight="1" x14ac:dyDescent="0.25"/>
    <row r="128" ht="45" customHeight="1" x14ac:dyDescent="0.25"/>
    <row r="129" ht="45" customHeight="1" x14ac:dyDescent="0.25"/>
    <row r="130" ht="45" customHeight="1" x14ac:dyDescent="0.25"/>
    <row r="131" ht="45" customHeight="1" x14ac:dyDescent="0.25"/>
    <row r="132" ht="45" customHeight="1" x14ac:dyDescent="0.25"/>
    <row r="133" ht="45" customHeight="1" x14ac:dyDescent="0.25"/>
    <row r="134" ht="45" customHeight="1" x14ac:dyDescent="0.25"/>
    <row r="135" ht="45" customHeight="1" x14ac:dyDescent="0.25"/>
    <row r="136" ht="45" customHeight="1" x14ac:dyDescent="0.25"/>
    <row r="137" ht="45" customHeight="1" x14ac:dyDescent="0.25"/>
    <row r="138" ht="45" customHeight="1" x14ac:dyDescent="0.25"/>
    <row r="139" ht="45" customHeight="1" x14ac:dyDescent="0.25"/>
    <row r="140" ht="45" customHeight="1" x14ac:dyDescent="0.25"/>
    <row r="141" ht="45" customHeight="1" x14ac:dyDescent="0.25"/>
    <row r="142" ht="45" customHeight="1" x14ac:dyDescent="0.25"/>
    <row r="143" ht="45" customHeight="1" x14ac:dyDescent="0.25"/>
    <row r="144" ht="45" customHeight="1" x14ac:dyDescent="0.25"/>
    <row r="145" ht="45" customHeight="1" x14ac:dyDescent="0.25"/>
    <row r="146" ht="45" customHeight="1" x14ac:dyDescent="0.25"/>
    <row r="147" ht="45" customHeight="1" x14ac:dyDescent="0.25"/>
    <row r="148" ht="45" customHeight="1" x14ac:dyDescent="0.25"/>
    <row r="149" ht="45" customHeight="1" x14ac:dyDescent="0.25"/>
    <row r="150" ht="45" customHeight="1" x14ac:dyDescent="0.25"/>
    <row r="151" ht="45" customHeight="1" x14ac:dyDescent="0.25"/>
    <row r="152" ht="45" customHeight="1" x14ac:dyDescent="0.25"/>
    <row r="153" ht="45" customHeight="1" x14ac:dyDescent="0.25"/>
    <row r="154" ht="45" customHeight="1" x14ac:dyDescent="0.25"/>
    <row r="155" ht="45" customHeight="1" x14ac:dyDescent="0.25"/>
    <row r="156" ht="45" customHeight="1" x14ac:dyDescent="0.25"/>
    <row r="157" ht="45" customHeight="1" x14ac:dyDescent="0.25"/>
    <row r="158" ht="45" customHeight="1" x14ac:dyDescent="0.25"/>
    <row r="159" ht="45" customHeight="1" x14ac:dyDescent="0.25"/>
    <row r="160" ht="45" customHeight="1" x14ac:dyDescent="0.25"/>
    <row r="161" ht="45" customHeight="1" x14ac:dyDescent="0.25"/>
    <row r="162" ht="45" customHeight="1" x14ac:dyDescent="0.25"/>
  </sheetData>
  <customSheetViews>
    <customSheetView guid="{A256185D-3FED-4216-9EB5-F7E7AD436EE2}" scale="80" showPageBreaks="1" showGridLines="0" fitToPage="1" hiddenRows="1">
      <selection activeCell="G23" sqref="G23"/>
      <pageMargins left="0.11811023622047245" right="0.11811023622047245" top="0.35433070866141736" bottom="0.35433070866141736" header="0.11811023622047245" footer="0.11811023622047245"/>
      <pageSetup paperSize="9" scale="68" fitToHeight="0" orientation="landscape" r:id="rId1"/>
      <headerFooter>
        <oddFooter>&amp;C&amp;8Side &amp;P av &amp;N</oddFooter>
      </headerFooter>
    </customSheetView>
    <customSheetView guid="{C1DE02DC-85CC-4A1E-B2FE-5BA1C75D8607}" scale="80" showPageBreaks="1" showGridLines="0" fitToPage="1" hiddenRows="1" topLeftCell="A31">
      <selection activeCell="C32" sqref="C32"/>
      <pageMargins left="0.11811023622047245" right="0.11811023622047245" top="0.35433070866141736" bottom="0.35433070866141736" header="0.11811023622047245" footer="0.11811023622047245"/>
      <pageSetup paperSize="9" scale="68" fitToHeight="0" orientation="landscape" r:id="rId2"/>
      <headerFooter>
        <oddFooter>&amp;C&amp;8Side &amp;P av &amp;N</oddFooter>
      </headerFooter>
    </customSheetView>
    <customSheetView guid="{2AD4F69B-2293-4CEA-BBDE-54830C532392}" scale="120" showGridLines="0" fitToPage="1" hiddenRows="1" topLeftCell="A24">
      <selection activeCell="C23" sqref="C23"/>
      <pageMargins left="0.11811023622047245" right="0.11811023622047245" top="0.35433070866141736" bottom="0.35433070866141736" header="0.11811023622047245" footer="0.11811023622047245"/>
      <pageSetup paperSize="9" scale="68" fitToHeight="0" orientation="landscape" r:id="rId3"/>
      <headerFooter>
        <oddFooter>&amp;C&amp;8Side &amp;P av &amp;N</oddFooter>
      </headerFooter>
    </customSheetView>
  </customSheetViews>
  <conditionalFormatting sqref="E36:E164">
    <cfRule type="cellIs" dxfId="28" priority="65" operator="equal">
      <formula>"Nei"</formula>
    </cfRule>
    <cfRule type="cellIs" dxfId="27" priority="66" operator="equal">
      <formula>"JA"</formula>
    </cfRule>
  </conditionalFormatting>
  <conditionalFormatting sqref="D7">
    <cfRule type="expression" dxfId="26" priority="49">
      <formula>#REF!="Nei"</formula>
    </cfRule>
  </conditionalFormatting>
  <conditionalFormatting sqref="D7">
    <cfRule type="expression" dxfId="25" priority="50">
      <formula>s2.4="Ja"</formula>
    </cfRule>
  </conditionalFormatting>
  <conditionalFormatting sqref="D26:D27">
    <cfRule type="expression" dxfId="24" priority="9">
      <formula>$D$25="nei"</formula>
    </cfRule>
  </conditionalFormatting>
  <conditionalFormatting sqref="D28">
    <cfRule type="expression" dxfId="23" priority="8">
      <formula>OR($D$25="nei",$D$27="nei")</formula>
    </cfRule>
  </conditionalFormatting>
  <conditionalFormatting sqref="D31">
    <cfRule type="expression" dxfId="22" priority="7">
      <formula>$D$30="nei"</formula>
    </cfRule>
  </conditionalFormatting>
  <conditionalFormatting sqref="D32:D33">
    <cfRule type="expression" dxfId="21" priority="5">
      <formula>OR($D$30="nei",$D$31="nei")</formula>
    </cfRule>
  </conditionalFormatting>
  <conditionalFormatting sqref="D14:D15">
    <cfRule type="expression" dxfId="20" priority="3">
      <formula>$D$13="nei"</formula>
    </cfRule>
  </conditionalFormatting>
  <conditionalFormatting sqref="D15">
    <cfRule type="expression" dxfId="19" priority="2">
      <formula>$D$14="nei"</formula>
    </cfRule>
  </conditionalFormatting>
  <conditionalFormatting sqref="D30:D33">
    <cfRule type="expression" dxfId="18" priority="105">
      <formula>OR($D$13="nei",$D$14="nei",$D$15="ja",$D$7="nei",$D$23="ja",$D$28="ja")</formula>
    </cfRule>
  </conditionalFormatting>
  <conditionalFormatting sqref="D25:D28">
    <cfRule type="expression" dxfId="17" priority="106">
      <formula>OR($D$13="nei",$D$14="nei",$D$15="ja",$D$7="nei",$D$23="ja")</formula>
    </cfRule>
  </conditionalFormatting>
  <conditionalFormatting sqref="D22">
    <cfRule type="expression" dxfId="16" priority="107">
      <formula>OR($D$13="nei",$D$14="nei",$D$15="ja",$D$7="nei",$D$21="nei")</formula>
    </cfRule>
  </conditionalFormatting>
  <conditionalFormatting sqref="D18:D19 D21">
    <cfRule type="expression" dxfId="15" priority="108">
      <formula>OR($D$13="nei",$D$14="nei",$D$15="ja",$D$7="nei")</formula>
    </cfRule>
  </conditionalFormatting>
  <conditionalFormatting sqref="D13:D15">
    <cfRule type="expression" dxfId="14" priority="110">
      <formula>OR($D$7="nei")</formula>
    </cfRule>
  </conditionalFormatting>
  <conditionalFormatting sqref="D23">
    <cfRule type="expression" dxfId="13" priority="111">
      <formula>OR($D$13="nei",$D$14="nei",$D$15="ja",$D$7="nei",$D$21="nei",$D$22="Nei")</formula>
    </cfRule>
  </conditionalFormatting>
  <conditionalFormatting sqref="D8:D9">
    <cfRule type="expression" dxfId="12" priority="112">
      <formula>$D$7="nei"</formula>
    </cfRule>
  </conditionalFormatting>
  <dataValidations count="2">
    <dataValidation allowBlank="1" showInputMessage="1" showErrorMessage="1" errorTitle="Spørsmål 2.4" error="Svar Ja eller Nei" sqref="D24 D29 D20"/>
    <dataValidation allowBlank="1" showInputMessage="1" showErrorMessage="1" errorTitle="Spørsmål 2.7" error="Svar Ja eller Nei" sqref="D29"/>
  </dataValidations>
  <pageMargins left="0.11811023622047245" right="0.11811023622047245" top="0.35433070866141736" bottom="0.35433070866141736" header="0.11811023622047245" footer="0.11811023622047245"/>
  <pageSetup paperSize="9" scale="68"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2</xdr:col>
                    <xdr:colOff>3324225</xdr:colOff>
                    <xdr:row>34</xdr:row>
                    <xdr:rowOff>38100</xdr:rowOff>
                  </from>
                  <to>
                    <xdr:col>4</xdr:col>
                    <xdr:colOff>19050</xdr:colOff>
                    <xdr:row>34</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x14:formula1>
            <xm:f>Logikk!$E$3:$E$8</xm:f>
          </x14:formula1>
          <xm:sqref>D8</xm:sqref>
        </x14:dataValidation>
        <x14:dataValidation type="list" allowBlank="1" showInputMessage="1" showErrorMessage="1" errorTitle="Feil inndatatype" error="Du må svare Ja eller Nei">
          <x14:formula1>
            <xm:f>Logikk!$D$3:$D$4</xm:f>
          </x14:formula1>
          <xm:sqref>D33</xm:sqref>
        </x14:dataValidation>
        <x14:dataValidation type="list" allowBlank="1" showInputMessage="1" showErrorMessage="1" errorTitle="Spørsmål 2.7" error="Svar Ja eller Nei">
          <x14:formula1>
            <xm:f>Logikk!$D$3:$D$4</xm:f>
          </x14:formula1>
          <xm:sqref>D30:D31 D24:D25 D27:D28 D20:D22 D7 D13:D15</xm:sqref>
        </x14:dataValidation>
        <x14:dataValidation type="list" allowBlank="1" showInputMessage="1" showErrorMessage="1">
          <x14:formula1>
            <xm:f>Logikk!$E$11:$E$15</xm:f>
          </x14:formula1>
          <xm:sqref>D26 D32</xm:sqref>
        </x14:dataValidation>
        <x14:dataValidation type="list" allowBlank="1" showInputMessage="1" showErrorMessage="1" error="Du må svare ja eller nei">
          <x14:formula1>
            <xm:f>Logikk!$D$3:$D$4</xm:f>
          </x14:formula1>
          <xm:sqref>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R100"/>
  <sheetViews>
    <sheetView showGridLines="0" zoomScaleNormal="100" workbookViewId="0">
      <selection activeCell="D11" sqref="D11"/>
    </sheetView>
  </sheetViews>
  <sheetFormatPr baseColWidth="10" defaultColWidth="11.5703125" defaultRowHeight="15" outlineLevelRow="1" x14ac:dyDescent="0.25"/>
  <cols>
    <col min="1" max="1" width="15" style="57" customWidth="1"/>
    <col min="2" max="2" width="23.7109375" style="1" customWidth="1"/>
    <col min="3" max="3" width="47.140625" style="1" customWidth="1"/>
    <col min="4" max="4" width="14.140625" style="1" customWidth="1"/>
    <col min="5" max="5" width="50.5703125" style="1" customWidth="1"/>
    <col min="6" max="6" width="50.5703125" style="57" customWidth="1"/>
    <col min="7" max="7" width="18" style="1" customWidth="1"/>
    <col min="8" max="8" width="19.85546875" style="20" customWidth="1"/>
    <col min="9" max="9" width="13.5703125" style="20" customWidth="1"/>
    <col min="10" max="10" width="34.140625" style="20" customWidth="1"/>
    <col min="11" max="11" width="8.5703125" style="20" customWidth="1"/>
    <col min="12" max="12" width="35.42578125" style="20" customWidth="1"/>
    <col min="13" max="14" width="8.5703125" style="20" customWidth="1"/>
    <col min="15" max="16384" width="11.5703125" style="1"/>
  </cols>
  <sheetData>
    <row r="1" spans="1:18" ht="30" customHeight="1" x14ac:dyDescent="0.25">
      <c r="A1" s="73" t="str">
        <f>Registering!A1</f>
        <v>1.2.1 b Forhåndsinnspelt video utan lyd har alternativ i form av tekst eller lyd</v>
      </c>
      <c r="B1" s="15"/>
      <c r="C1" s="15"/>
      <c r="D1" s="46"/>
      <c r="E1" s="15"/>
      <c r="F1" s="55"/>
      <c r="G1" s="15"/>
      <c r="H1" s="15"/>
      <c r="I1" s="15"/>
      <c r="J1" s="15"/>
      <c r="K1" s="15"/>
      <c r="L1" s="15"/>
      <c r="M1" s="15"/>
      <c r="N1" s="15"/>
      <c r="O1" s="15"/>
      <c r="P1" s="15"/>
      <c r="Q1" s="15"/>
      <c r="R1" s="15"/>
    </row>
    <row r="2" spans="1:18" ht="409.5" hidden="1" outlineLevel="1" x14ac:dyDescent="0.25">
      <c r="A2" s="94" t="s">
        <v>8</v>
      </c>
      <c r="B2" s="14" t="str">
        <f>Registering!B2</f>
        <v>1.2.1 Bare lyd og bare video (forhåndsinnspilt):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v>
      </c>
      <c r="C2" s="14"/>
      <c r="D2" s="16"/>
      <c r="E2" s="16"/>
      <c r="F2" s="54"/>
      <c r="G2" s="16"/>
      <c r="O2" s="20"/>
      <c r="P2" s="20"/>
      <c r="Q2" s="20"/>
      <c r="R2" s="20"/>
    </row>
    <row r="3" spans="1:18" ht="39" customHeight="1" collapsed="1" x14ac:dyDescent="0.25">
      <c r="A3" s="64" t="s">
        <v>73</v>
      </c>
      <c r="B3" s="16"/>
      <c r="C3" s="16"/>
      <c r="D3" s="16"/>
      <c r="E3" s="16"/>
      <c r="F3" s="54"/>
      <c r="G3" s="16"/>
      <c r="H3" s="65"/>
      <c r="I3" s="65"/>
      <c r="J3" s="65"/>
      <c r="K3" s="65"/>
      <c r="L3" s="65"/>
      <c r="M3" s="65"/>
      <c r="N3" s="65"/>
      <c r="O3" s="65"/>
      <c r="P3" s="65"/>
      <c r="Q3" s="65"/>
      <c r="R3" s="65"/>
    </row>
    <row r="4" spans="1:18" x14ac:dyDescent="0.25">
      <c r="A4" s="62" t="s">
        <v>65</v>
      </c>
      <c r="B4" s="24"/>
      <c r="C4" s="25"/>
      <c r="D4" s="25"/>
      <c r="E4" s="16"/>
      <c r="F4" s="16"/>
      <c r="G4" s="16"/>
      <c r="H4" s="65"/>
      <c r="I4" s="65"/>
      <c r="J4" s="65"/>
      <c r="K4" s="65"/>
      <c r="L4" s="65"/>
      <c r="M4" s="65"/>
      <c r="N4" s="65"/>
      <c r="O4" s="65"/>
      <c r="P4" s="65"/>
      <c r="Q4" s="65"/>
      <c r="R4" s="65"/>
    </row>
    <row r="5" spans="1:18" x14ac:dyDescent="0.25">
      <c r="A5" s="25"/>
      <c r="B5" s="24" t="s">
        <v>67</v>
      </c>
      <c r="C5" s="66"/>
      <c r="D5" s="25"/>
      <c r="E5" s="16"/>
      <c r="F5" s="16"/>
      <c r="G5" s="16"/>
      <c r="H5" s="65"/>
      <c r="I5" s="65"/>
      <c r="J5" s="65"/>
      <c r="K5" s="65"/>
      <c r="L5" s="65"/>
      <c r="M5" s="65"/>
      <c r="N5" s="65"/>
      <c r="O5" s="65"/>
      <c r="P5" s="65"/>
      <c r="Q5" s="65"/>
      <c r="R5" s="65"/>
    </row>
    <row r="6" spans="1:18" x14ac:dyDescent="0.25">
      <c r="A6" s="25"/>
      <c r="B6" s="24" t="s">
        <v>84</v>
      </c>
      <c r="C6" s="66"/>
      <c r="D6" s="25"/>
      <c r="E6" s="16"/>
      <c r="F6" s="16"/>
      <c r="G6" s="16"/>
      <c r="H6" s="65"/>
      <c r="I6" s="65"/>
      <c r="J6" s="65"/>
      <c r="K6" s="65"/>
      <c r="L6" s="65"/>
      <c r="M6" s="65"/>
      <c r="N6" s="65"/>
      <c r="O6" s="65"/>
      <c r="P6" s="65"/>
      <c r="Q6" s="65"/>
      <c r="R6" s="65"/>
    </row>
    <row r="7" spans="1:18" x14ac:dyDescent="0.25">
      <c r="A7" s="25"/>
      <c r="B7" s="24" t="s">
        <v>68</v>
      </c>
      <c r="C7" s="66"/>
      <c r="D7" s="25"/>
      <c r="E7" s="16"/>
      <c r="F7" s="16"/>
      <c r="G7" s="16"/>
      <c r="H7" s="65"/>
      <c r="I7" s="65"/>
      <c r="J7" s="65"/>
      <c r="K7" s="65"/>
      <c r="L7" s="65"/>
      <c r="M7" s="65"/>
      <c r="N7" s="65"/>
      <c r="O7" s="65"/>
      <c r="P7" s="65"/>
      <c r="Q7" s="65"/>
      <c r="R7" s="65"/>
    </row>
    <row r="8" spans="1:18" x14ac:dyDescent="0.25">
      <c r="A8" s="29"/>
      <c r="B8" s="19" t="s">
        <v>76</v>
      </c>
      <c r="C8" s="66"/>
      <c r="D8" s="25"/>
      <c r="E8" s="16"/>
      <c r="F8" s="16"/>
      <c r="G8" s="16"/>
      <c r="H8" s="65"/>
      <c r="I8" s="65"/>
      <c r="J8" s="65"/>
      <c r="K8" s="65"/>
      <c r="L8" s="65"/>
      <c r="M8" s="65"/>
      <c r="N8" s="65"/>
      <c r="O8" s="65"/>
      <c r="P8" s="65"/>
      <c r="Q8" s="65"/>
      <c r="R8" s="65"/>
    </row>
    <row r="9" spans="1:18" ht="39" customHeight="1" collapsed="1" x14ac:dyDescent="0.25">
      <c r="A9" s="64" t="s">
        <v>74</v>
      </c>
      <c r="B9" s="16"/>
      <c r="C9" s="16"/>
      <c r="D9" s="16"/>
      <c r="E9" s="16"/>
      <c r="F9" s="54"/>
      <c r="G9" s="16"/>
      <c r="H9" s="65"/>
      <c r="I9" s="65"/>
      <c r="J9" s="65"/>
      <c r="K9" s="65"/>
      <c r="L9" s="65"/>
      <c r="M9" s="65"/>
      <c r="N9" s="65"/>
      <c r="O9" s="65"/>
      <c r="P9" s="65"/>
      <c r="Q9" s="65"/>
      <c r="R9" s="65"/>
    </row>
    <row r="10" spans="1:18" x14ac:dyDescent="0.25">
      <c r="A10" s="62" t="s">
        <v>66</v>
      </c>
      <c r="B10" s="24"/>
      <c r="C10" s="66"/>
      <c r="D10" s="25"/>
      <c r="E10" s="16"/>
      <c r="F10" s="16"/>
      <c r="G10" s="16"/>
      <c r="H10" s="65"/>
      <c r="I10" s="65"/>
      <c r="J10" s="65"/>
      <c r="K10" s="65"/>
      <c r="L10" s="65"/>
      <c r="M10" s="65"/>
      <c r="N10" s="65"/>
      <c r="O10" s="65"/>
      <c r="P10" s="65"/>
      <c r="Q10" s="65"/>
      <c r="R10" s="65"/>
    </row>
    <row r="11" spans="1:18" x14ac:dyDescent="0.25">
      <c r="A11" s="25"/>
      <c r="B11" s="24" t="s">
        <v>69</v>
      </c>
      <c r="C11" s="66"/>
      <c r="D11" s="25">
        <f>COUNTA(A16:A39)</f>
        <v>0</v>
      </c>
      <c r="E11" s="16"/>
      <c r="F11" s="16"/>
      <c r="G11" s="16"/>
      <c r="H11" s="65"/>
      <c r="I11" s="65"/>
      <c r="J11" s="65"/>
      <c r="K11" s="65"/>
      <c r="L11" s="65"/>
      <c r="M11" s="65"/>
      <c r="N11" s="65"/>
      <c r="O11" s="65"/>
      <c r="P11" s="65"/>
      <c r="Q11" s="65"/>
      <c r="R11" s="65"/>
    </row>
    <row r="12" spans="1:18" x14ac:dyDescent="0.25">
      <c r="A12" s="25"/>
      <c r="B12" s="26" t="s">
        <v>70</v>
      </c>
      <c r="C12" s="66"/>
      <c r="D12" s="25">
        <f>COUNTIF(D16:D728,"NEI")</f>
        <v>0</v>
      </c>
      <c r="E12" s="16"/>
      <c r="F12" s="16"/>
      <c r="G12" s="16"/>
      <c r="H12" s="65"/>
      <c r="I12" s="65"/>
      <c r="J12" s="65"/>
      <c r="K12" s="65"/>
      <c r="L12" s="65"/>
      <c r="M12" s="65"/>
      <c r="N12" s="65"/>
      <c r="O12" s="65"/>
      <c r="P12" s="65"/>
      <c r="Q12" s="65"/>
      <c r="R12" s="65"/>
    </row>
    <row r="13" spans="1:18" x14ac:dyDescent="0.25">
      <c r="A13" s="25"/>
      <c r="B13" s="26" t="s">
        <v>71</v>
      </c>
      <c r="C13" s="66"/>
      <c r="D13" s="25">
        <f>COUNTIF(D$16:D732,"JA")</f>
        <v>0</v>
      </c>
      <c r="E13" s="16"/>
      <c r="F13" s="16"/>
      <c r="G13" s="16"/>
      <c r="H13" s="65"/>
      <c r="I13" s="65"/>
      <c r="J13" s="65"/>
      <c r="K13" s="65"/>
      <c r="L13" s="65"/>
      <c r="M13" s="65"/>
      <c r="N13" s="65"/>
      <c r="O13" s="65"/>
      <c r="P13" s="65"/>
      <c r="Q13" s="65"/>
      <c r="R13" s="65"/>
    </row>
    <row r="14" spans="1:18" ht="39" customHeight="1" collapsed="1" x14ac:dyDescent="0.25">
      <c r="A14" s="64" t="s">
        <v>75</v>
      </c>
      <c r="B14" s="16"/>
      <c r="C14" s="16"/>
      <c r="D14" s="16"/>
      <c r="E14" s="16"/>
      <c r="F14" s="54"/>
      <c r="G14" s="16"/>
      <c r="H14" s="65"/>
      <c r="I14" s="65"/>
      <c r="J14" s="65"/>
      <c r="K14" s="65"/>
      <c r="L14" s="65"/>
      <c r="M14" s="65"/>
      <c r="N14" s="65"/>
      <c r="O14" s="65"/>
      <c r="P14" s="65"/>
      <c r="Q14" s="65"/>
      <c r="R14" s="65"/>
    </row>
    <row r="15" spans="1:18" ht="39" customHeight="1" x14ac:dyDescent="0.25">
      <c r="A15" s="41" t="s">
        <v>0</v>
      </c>
      <c r="B15" s="18" t="s">
        <v>19</v>
      </c>
      <c r="C15" s="18" t="s">
        <v>23</v>
      </c>
      <c r="D15" s="63" t="s">
        <v>6</v>
      </c>
      <c r="E15" s="18" t="s">
        <v>162</v>
      </c>
      <c r="F15" s="18" t="s">
        <v>4</v>
      </c>
      <c r="G15" s="41" t="s">
        <v>9</v>
      </c>
      <c r="H15" s="67" t="s">
        <v>33</v>
      </c>
      <c r="I15" s="67" t="s">
        <v>34</v>
      </c>
      <c r="J15" s="67" t="s">
        <v>35</v>
      </c>
      <c r="K15" s="67" t="s">
        <v>36</v>
      </c>
      <c r="L15" s="67" t="s">
        <v>37</v>
      </c>
      <c r="M15" s="67" t="s">
        <v>38</v>
      </c>
      <c r="N15" s="67" t="s">
        <v>39</v>
      </c>
      <c r="O15" s="67" t="s">
        <v>40</v>
      </c>
      <c r="P15" s="67" t="s">
        <v>41</v>
      </c>
      <c r="Q15" s="67" t="s">
        <v>86</v>
      </c>
      <c r="R15" s="67" t="s">
        <v>87</v>
      </c>
    </row>
    <row r="16" spans="1:18" x14ac:dyDescent="0.25">
      <c r="A16" s="68"/>
      <c r="B16" s="23"/>
      <c r="C16" s="27"/>
      <c r="D16" s="28"/>
      <c r="E16" s="23"/>
      <c r="F16" s="69"/>
      <c r="G16" s="87"/>
      <c r="H16" s="28"/>
      <c r="I16" s="28"/>
      <c r="J16" s="28"/>
      <c r="K16" s="28"/>
      <c r="L16" s="70"/>
      <c r="M16" s="28"/>
      <c r="N16" s="28"/>
      <c r="O16" s="28"/>
      <c r="P16" s="28"/>
      <c r="Q16" s="28"/>
      <c r="R16" s="28"/>
    </row>
    <row r="17" spans="1:18" x14ac:dyDescent="0.25">
      <c r="A17" s="68"/>
      <c r="B17" s="23"/>
      <c r="C17" s="27"/>
      <c r="D17" s="28"/>
      <c r="E17" s="23"/>
      <c r="F17" s="69"/>
      <c r="G17" s="87"/>
      <c r="H17" s="28"/>
      <c r="I17" s="71"/>
      <c r="J17" s="28"/>
      <c r="K17" s="28"/>
      <c r="L17" s="70"/>
      <c r="M17" s="28"/>
      <c r="N17" s="28"/>
      <c r="O17" s="28"/>
      <c r="P17" s="28"/>
      <c r="Q17" s="28"/>
      <c r="R17" s="28"/>
    </row>
    <row r="18" spans="1:18" x14ac:dyDescent="0.25">
      <c r="A18" s="68"/>
      <c r="B18" s="23"/>
      <c r="C18" s="27"/>
      <c r="D18" s="28"/>
      <c r="E18" s="23"/>
      <c r="F18" s="69"/>
      <c r="G18" s="87"/>
      <c r="H18" s="28"/>
      <c r="I18" s="28"/>
      <c r="J18" s="28"/>
      <c r="K18" s="28"/>
      <c r="L18" s="70"/>
      <c r="M18" s="28"/>
      <c r="N18" s="28"/>
      <c r="O18" s="28"/>
      <c r="P18" s="28"/>
      <c r="Q18" s="28"/>
      <c r="R18" s="28"/>
    </row>
    <row r="19" spans="1:18" x14ac:dyDescent="0.25">
      <c r="A19" s="68"/>
      <c r="B19" s="23"/>
      <c r="C19" s="27"/>
      <c r="D19" s="28"/>
      <c r="E19" s="23"/>
      <c r="F19" s="69"/>
      <c r="G19" s="87"/>
      <c r="H19" s="28"/>
      <c r="I19" s="28"/>
      <c r="J19" s="28"/>
      <c r="K19" s="28"/>
      <c r="L19" s="70"/>
      <c r="M19" s="28"/>
      <c r="N19" s="28"/>
      <c r="O19" s="28"/>
      <c r="P19" s="28"/>
      <c r="Q19" s="28"/>
      <c r="R19" s="28"/>
    </row>
    <row r="20" spans="1:18" x14ac:dyDescent="0.25">
      <c r="A20" s="68"/>
      <c r="B20" s="23"/>
      <c r="C20" s="27"/>
      <c r="D20" s="28"/>
      <c r="E20" s="23"/>
      <c r="F20" s="69"/>
      <c r="G20" s="88"/>
      <c r="H20" s="28"/>
      <c r="I20" s="28"/>
      <c r="J20" s="28"/>
      <c r="K20" s="28"/>
      <c r="L20" s="70"/>
      <c r="M20" s="28"/>
      <c r="N20" s="28"/>
      <c r="O20" s="28"/>
      <c r="P20" s="28"/>
      <c r="Q20" s="28"/>
      <c r="R20" s="28"/>
    </row>
    <row r="21" spans="1:18" x14ac:dyDescent="0.25">
      <c r="A21" s="56"/>
      <c r="B21" s="23"/>
      <c r="C21" s="27"/>
      <c r="D21" s="28"/>
      <c r="E21" s="23"/>
      <c r="F21" s="69"/>
      <c r="G21" s="88"/>
      <c r="H21" s="28"/>
      <c r="I21" s="28"/>
      <c r="J21" s="28"/>
      <c r="K21" s="28"/>
      <c r="L21" s="70"/>
      <c r="M21" s="28"/>
      <c r="N21" s="28"/>
      <c r="O21" s="28"/>
      <c r="P21" s="28"/>
      <c r="Q21" s="28"/>
      <c r="R21" s="28"/>
    </row>
    <row r="22" spans="1:18" x14ac:dyDescent="0.25">
      <c r="A22" s="56"/>
      <c r="B22" s="23"/>
      <c r="C22" s="27"/>
      <c r="D22" s="28"/>
      <c r="E22" s="23"/>
      <c r="F22" s="69"/>
      <c r="G22" s="88"/>
      <c r="H22" s="28"/>
      <c r="I22" s="28"/>
      <c r="J22" s="28"/>
      <c r="K22" s="28"/>
      <c r="L22" s="70"/>
      <c r="M22" s="28"/>
      <c r="N22" s="28"/>
      <c r="O22" s="28"/>
      <c r="P22" s="28"/>
      <c r="Q22" s="28"/>
      <c r="R22" s="28"/>
    </row>
    <row r="23" spans="1:18" x14ac:dyDescent="0.25">
      <c r="A23" s="56"/>
      <c r="B23" s="23"/>
      <c r="C23" s="27"/>
      <c r="D23" s="28"/>
      <c r="E23" s="23"/>
      <c r="F23" s="69"/>
      <c r="G23" s="88"/>
      <c r="H23" s="28"/>
      <c r="I23" s="28"/>
      <c r="J23" s="28"/>
      <c r="K23" s="28"/>
      <c r="L23" s="70"/>
      <c r="M23" s="28"/>
      <c r="N23" s="28"/>
      <c r="O23" s="28"/>
      <c r="P23" s="28"/>
      <c r="Q23" s="28"/>
      <c r="R23" s="28"/>
    </row>
    <row r="24" spans="1:18" x14ac:dyDescent="0.25">
      <c r="A24" s="56"/>
      <c r="B24" s="23"/>
      <c r="C24" s="27"/>
      <c r="D24" s="28"/>
      <c r="E24" s="23"/>
      <c r="F24" s="69"/>
      <c r="G24" s="88"/>
      <c r="H24" s="28"/>
      <c r="I24" s="28"/>
      <c r="J24" s="28"/>
      <c r="K24" s="28"/>
      <c r="L24" s="70"/>
      <c r="M24" s="28"/>
      <c r="N24" s="28"/>
      <c r="O24" s="28"/>
      <c r="P24" s="28"/>
      <c r="Q24" s="28"/>
      <c r="R24" s="28"/>
    </row>
    <row r="25" spans="1:18" x14ac:dyDescent="0.25">
      <c r="A25" s="56"/>
      <c r="B25" s="23"/>
      <c r="C25" s="27"/>
      <c r="D25" s="28"/>
      <c r="E25" s="23"/>
      <c r="F25" s="69"/>
      <c r="G25" s="88"/>
      <c r="H25" s="28"/>
      <c r="I25" s="28"/>
      <c r="J25" s="28"/>
      <c r="K25" s="28"/>
      <c r="L25" s="70"/>
      <c r="M25" s="28"/>
      <c r="N25" s="28"/>
      <c r="O25" s="28"/>
      <c r="P25" s="28"/>
      <c r="Q25" s="28"/>
      <c r="R25" s="28"/>
    </row>
    <row r="26" spans="1:18" x14ac:dyDescent="0.25">
      <c r="A26" s="56"/>
      <c r="B26" s="23"/>
      <c r="C26" s="27"/>
      <c r="D26" s="28"/>
      <c r="E26" s="23"/>
      <c r="F26" s="72"/>
      <c r="G26" s="88"/>
      <c r="H26" s="28"/>
      <c r="I26" s="28"/>
      <c r="J26" s="28"/>
      <c r="K26" s="28"/>
      <c r="L26" s="70"/>
      <c r="M26" s="28"/>
      <c r="N26" s="28"/>
      <c r="O26" s="28"/>
      <c r="P26" s="28"/>
      <c r="Q26" s="28"/>
      <c r="R26" s="28"/>
    </row>
    <row r="27" spans="1:18" x14ac:dyDescent="0.25">
      <c r="A27" s="56"/>
      <c r="B27" s="23"/>
      <c r="C27" s="27"/>
      <c r="D27" s="28"/>
      <c r="E27" s="23"/>
      <c r="F27" s="72"/>
      <c r="G27" s="88"/>
      <c r="H27" s="28"/>
      <c r="I27" s="28"/>
      <c r="J27" s="28"/>
      <c r="K27" s="28"/>
      <c r="L27" s="70"/>
      <c r="M27" s="28"/>
      <c r="N27" s="28"/>
      <c r="O27" s="28"/>
      <c r="P27" s="28"/>
      <c r="Q27" s="28"/>
      <c r="R27" s="28"/>
    </row>
    <row r="28" spans="1:18" x14ac:dyDescent="0.25">
      <c r="A28" s="56"/>
      <c r="B28" s="23"/>
      <c r="C28" s="27"/>
      <c r="D28" s="28"/>
      <c r="E28" s="23"/>
      <c r="F28" s="72"/>
      <c r="G28" s="88"/>
      <c r="H28" s="28"/>
      <c r="I28" s="28"/>
      <c r="J28" s="28"/>
      <c r="K28" s="28"/>
      <c r="L28" s="70"/>
      <c r="M28" s="28"/>
      <c r="N28" s="28"/>
      <c r="O28" s="28"/>
      <c r="P28" s="28"/>
      <c r="Q28" s="28"/>
      <c r="R28" s="28"/>
    </row>
    <row r="29" spans="1:18" x14ac:dyDescent="0.25">
      <c r="A29" s="56"/>
      <c r="B29" s="23"/>
      <c r="C29" s="27"/>
      <c r="D29" s="28"/>
      <c r="E29" s="23"/>
      <c r="F29" s="72"/>
      <c r="G29" s="88"/>
      <c r="H29" s="28"/>
      <c r="I29" s="28"/>
      <c r="J29" s="28"/>
      <c r="K29" s="28"/>
      <c r="L29" s="70"/>
      <c r="M29" s="28"/>
      <c r="N29" s="28"/>
      <c r="O29" s="28"/>
      <c r="P29" s="28"/>
      <c r="Q29" s="28"/>
      <c r="R29" s="28"/>
    </row>
    <row r="30" spans="1:18" x14ac:dyDescent="0.25">
      <c r="A30" s="56"/>
      <c r="B30" s="23"/>
      <c r="C30" s="27"/>
      <c r="D30" s="28"/>
      <c r="E30" s="23"/>
      <c r="F30" s="72"/>
      <c r="G30" s="88"/>
      <c r="H30" s="28"/>
      <c r="I30" s="28"/>
      <c r="J30" s="28"/>
      <c r="K30" s="28"/>
      <c r="L30" s="70"/>
      <c r="M30" s="28"/>
      <c r="N30" s="28"/>
      <c r="O30" s="28"/>
      <c r="P30" s="28"/>
      <c r="Q30" s="28"/>
      <c r="R30" s="28"/>
    </row>
    <row r="31" spans="1:18" x14ac:dyDescent="0.25">
      <c r="A31" s="56"/>
      <c r="B31" s="23"/>
      <c r="C31" s="27"/>
      <c r="D31" s="28"/>
      <c r="E31" s="23"/>
      <c r="F31" s="72"/>
      <c r="G31" s="88"/>
      <c r="H31" s="28"/>
      <c r="I31" s="28"/>
      <c r="J31" s="28"/>
      <c r="K31" s="28"/>
      <c r="L31" s="70"/>
      <c r="M31" s="28"/>
      <c r="N31" s="28"/>
      <c r="O31" s="28"/>
      <c r="P31" s="28"/>
      <c r="Q31" s="28"/>
      <c r="R31" s="28"/>
    </row>
    <row r="32" spans="1:18" x14ac:dyDescent="0.25">
      <c r="A32" s="56"/>
      <c r="B32" s="23"/>
      <c r="C32" s="27"/>
      <c r="D32" s="28"/>
      <c r="E32" s="23"/>
      <c r="F32" s="72"/>
      <c r="G32" s="88"/>
      <c r="H32" s="28"/>
      <c r="I32" s="28"/>
      <c r="J32" s="28"/>
      <c r="K32" s="28"/>
      <c r="L32" s="70"/>
      <c r="M32" s="28"/>
      <c r="N32" s="28"/>
      <c r="O32" s="28"/>
      <c r="P32" s="28"/>
      <c r="Q32" s="28"/>
      <c r="R32" s="28"/>
    </row>
    <row r="33" spans="1:18" x14ac:dyDescent="0.25">
      <c r="A33" s="56"/>
      <c r="B33" s="23"/>
      <c r="C33" s="27"/>
      <c r="D33" s="28"/>
      <c r="E33" s="23"/>
      <c r="F33" s="72"/>
      <c r="G33" s="88"/>
      <c r="H33" s="28"/>
      <c r="I33" s="28"/>
      <c r="J33" s="28"/>
      <c r="K33" s="28"/>
      <c r="L33" s="70"/>
      <c r="M33" s="28"/>
      <c r="N33" s="28"/>
      <c r="O33" s="28"/>
      <c r="P33" s="28"/>
      <c r="Q33" s="28"/>
      <c r="R33" s="28"/>
    </row>
    <row r="34" spans="1:18" x14ac:dyDescent="0.25">
      <c r="A34" s="56"/>
      <c r="B34" s="23"/>
      <c r="C34" s="27"/>
      <c r="D34" s="28"/>
      <c r="E34" s="23"/>
      <c r="F34" s="72"/>
      <c r="G34" s="88"/>
      <c r="H34" s="28"/>
      <c r="I34" s="28"/>
      <c r="J34" s="28"/>
      <c r="K34" s="28"/>
      <c r="L34" s="70"/>
      <c r="M34" s="28"/>
      <c r="N34" s="28"/>
      <c r="O34" s="28"/>
      <c r="P34" s="28"/>
      <c r="Q34" s="28"/>
      <c r="R34" s="28"/>
    </row>
    <row r="35" spans="1:18" x14ac:dyDescent="0.25">
      <c r="A35" s="56"/>
      <c r="B35" s="23"/>
      <c r="C35" s="27"/>
      <c r="D35" s="28"/>
      <c r="E35" s="23"/>
      <c r="F35" s="72"/>
      <c r="G35" s="88"/>
      <c r="H35" s="28"/>
      <c r="I35" s="28"/>
      <c r="J35" s="28"/>
      <c r="K35" s="28"/>
      <c r="L35" s="70"/>
      <c r="M35" s="28"/>
      <c r="N35" s="28"/>
      <c r="O35" s="28"/>
      <c r="P35" s="28"/>
      <c r="Q35" s="28"/>
      <c r="R35" s="28"/>
    </row>
    <row r="36" spans="1:18" x14ac:dyDescent="0.25">
      <c r="A36" s="56"/>
      <c r="B36" s="23"/>
      <c r="C36" s="27"/>
      <c r="D36" s="28"/>
      <c r="E36" s="23"/>
      <c r="F36" s="72"/>
      <c r="G36" s="88"/>
      <c r="H36" s="28"/>
      <c r="I36" s="28"/>
      <c r="J36" s="28"/>
      <c r="K36" s="28"/>
      <c r="L36" s="70"/>
      <c r="M36" s="28"/>
      <c r="N36" s="28"/>
      <c r="O36" s="28"/>
      <c r="P36" s="28"/>
      <c r="Q36" s="28"/>
      <c r="R36" s="28"/>
    </row>
    <row r="37" spans="1:18" x14ac:dyDescent="0.25">
      <c r="A37" s="56"/>
      <c r="B37" s="23"/>
      <c r="C37" s="27"/>
      <c r="D37" s="28"/>
      <c r="E37" s="23"/>
      <c r="F37" s="72"/>
      <c r="G37" s="88"/>
      <c r="H37" s="28"/>
      <c r="I37" s="28"/>
      <c r="J37" s="28"/>
      <c r="K37" s="28"/>
      <c r="L37" s="70"/>
      <c r="M37" s="28"/>
      <c r="N37" s="28"/>
      <c r="O37" s="28"/>
      <c r="P37" s="28"/>
      <c r="Q37" s="28"/>
      <c r="R37" s="28"/>
    </row>
    <row r="38" spans="1:18" x14ac:dyDescent="0.25">
      <c r="A38" s="56"/>
      <c r="B38" s="23"/>
      <c r="C38" s="27"/>
      <c r="D38" s="28"/>
      <c r="E38" s="23"/>
      <c r="F38" s="72"/>
      <c r="G38" s="88"/>
      <c r="H38" s="28"/>
      <c r="I38" s="28"/>
      <c r="J38" s="28"/>
      <c r="K38" s="28"/>
      <c r="L38" s="70"/>
      <c r="M38" s="28"/>
      <c r="N38" s="28"/>
      <c r="O38" s="28"/>
      <c r="P38" s="28"/>
      <c r="Q38" s="28"/>
      <c r="R38" s="28"/>
    </row>
    <row r="39" spans="1:18" x14ac:dyDescent="0.25">
      <c r="A39" s="56"/>
      <c r="B39" s="23"/>
      <c r="C39" s="27"/>
      <c r="D39" s="28"/>
      <c r="E39" s="23"/>
      <c r="F39" s="72"/>
      <c r="G39" s="88"/>
      <c r="H39" s="28"/>
      <c r="I39" s="28"/>
      <c r="J39" s="28"/>
      <c r="K39" s="28"/>
      <c r="L39" s="70"/>
      <c r="M39" s="28"/>
      <c r="N39" s="28"/>
      <c r="O39" s="28"/>
      <c r="P39" s="28"/>
      <c r="Q39" s="28"/>
      <c r="R39" s="28"/>
    </row>
    <row r="40" spans="1:18" x14ac:dyDescent="0.25">
      <c r="A40" s="56"/>
      <c r="B40" s="23"/>
      <c r="C40" s="27"/>
      <c r="D40" s="28"/>
      <c r="E40" s="23"/>
      <c r="F40" s="72"/>
      <c r="G40" s="88"/>
      <c r="H40" s="28"/>
      <c r="I40" s="28"/>
      <c r="J40" s="28"/>
      <c r="K40" s="28"/>
      <c r="L40" s="70"/>
      <c r="M40" s="28"/>
      <c r="N40" s="28"/>
      <c r="O40" s="28"/>
      <c r="P40" s="28"/>
      <c r="Q40" s="28"/>
      <c r="R40" s="28"/>
    </row>
    <row r="41" spans="1:18" x14ac:dyDescent="0.25">
      <c r="A41" s="56"/>
      <c r="B41" s="23"/>
      <c r="C41" s="27"/>
      <c r="D41" s="28"/>
      <c r="E41" s="23"/>
      <c r="F41" s="72"/>
      <c r="G41" s="88"/>
      <c r="H41" s="28"/>
      <c r="I41" s="28"/>
      <c r="J41" s="28"/>
      <c r="K41" s="28"/>
      <c r="L41" s="70"/>
      <c r="M41" s="28"/>
      <c r="N41" s="28"/>
      <c r="O41" s="28"/>
      <c r="P41" s="28"/>
      <c r="Q41" s="28"/>
      <c r="R41" s="28"/>
    </row>
    <row r="42" spans="1:18" x14ac:dyDescent="0.25">
      <c r="A42" s="56"/>
      <c r="B42" s="23"/>
      <c r="C42" s="27"/>
      <c r="D42" s="28"/>
      <c r="E42" s="23"/>
      <c r="F42" s="72"/>
      <c r="G42" s="88"/>
      <c r="H42" s="28"/>
      <c r="I42" s="28"/>
      <c r="J42" s="28"/>
      <c r="K42" s="28"/>
      <c r="L42" s="70"/>
      <c r="M42" s="28"/>
      <c r="N42" s="28"/>
      <c r="O42" s="28"/>
      <c r="P42" s="28"/>
      <c r="Q42" s="28"/>
      <c r="R42" s="28"/>
    </row>
    <row r="43" spans="1:18" x14ac:dyDescent="0.25">
      <c r="A43" s="56"/>
      <c r="B43" s="23"/>
      <c r="C43" s="27"/>
      <c r="D43" s="28"/>
      <c r="E43" s="23"/>
      <c r="F43" s="72"/>
      <c r="G43" s="88"/>
      <c r="H43" s="28"/>
      <c r="I43" s="28"/>
      <c r="J43" s="28"/>
      <c r="K43" s="28"/>
      <c r="L43" s="70"/>
      <c r="M43" s="28"/>
      <c r="N43" s="28"/>
      <c r="O43" s="28"/>
      <c r="P43" s="28"/>
      <c r="Q43" s="28"/>
      <c r="R43" s="28"/>
    </row>
    <row r="44" spans="1:18" x14ac:dyDescent="0.25">
      <c r="A44" s="56"/>
      <c r="B44" s="23"/>
      <c r="C44" s="27"/>
      <c r="D44" s="28"/>
      <c r="E44" s="23"/>
      <c r="F44" s="72"/>
      <c r="G44" s="88"/>
      <c r="H44" s="28"/>
      <c r="I44" s="28"/>
      <c r="J44" s="28"/>
      <c r="K44" s="28"/>
      <c r="L44" s="70"/>
      <c r="M44" s="28"/>
      <c r="N44" s="28"/>
      <c r="O44" s="28"/>
      <c r="P44" s="28"/>
      <c r="Q44" s="28"/>
      <c r="R44" s="28"/>
    </row>
    <row r="45" spans="1:18" x14ac:dyDescent="0.25">
      <c r="A45" s="56"/>
      <c r="B45" s="23"/>
      <c r="C45" s="27"/>
      <c r="D45" s="28"/>
      <c r="E45" s="23"/>
      <c r="F45" s="72"/>
      <c r="G45" s="88"/>
      <c r="H45" s="28"/>
      <c r="I45" s="28"/>
      <c r="J45" s="28"/>
      <c r="K45" s="28"/>
      <c r="L45" s="70"/>
      <c r="M45" s="28"/>
      <c r="N45" s="28"/>
      <c r="O45" s="28"/>
      <c r="P45" s="28"/>
      <c r="Q45" s="28"/>
      <c r="R45" s="28"/>
    </row>
    <row r="46" spans="1:18" x14ac:dyDescent="0.25">
      <c r="A46" s="56"/>
      <c r="B46" s="23"/>
      <c r="C46" s="27"/>
      <c r="D46" s="28"/>
      <c r="E46" s="23"/>
      <c r="F46" s="72"/>
      <c r="G46" s="88"/>
      <c r="H46" s="28"/>
      <c r="I46" s="28"/>
      <c r="J46" s="28"/>
      <c r="K46" s="28"/>
      <c r="L46" s="70"/>
      <c r="M46" s="28"/>
      <c r="N46" s="28"/>
      <c r="O46" s="28"/>
      <c r="P46" s="28"/>
      <c r="Q46" s="28"/>
      <c r="R46" s="28"/>
    </row>
    <row r="47" spans="1:18" x14ac:dyDescent="0.25">
      <c r="A47" s="56"/>
      <c r="B47" s="23"/>
      <c r="C47" s="27"/>
      <c r="D47" s="28"/>
      <c r="E47" s="23"/>
      <c r="F47" s="72"/>
      <c r="G47" s="88"/>
      <c r="H47" s="28"/>
      <c r="I47" s="28"/>
      <c r="J47" s="28"/>
      <c r="K47" s="28"/>
      <c r="L47" s="70"/>
      <c r="M47" s="28"/>
      <c r="N47" s="28"/>
      <c r="O47" s="28"/>
      <c r="P47" s="28"/>
      <c r="Q47" s="28"/>
      <c r="R47" s="28"/>
    </row>
    <row r="48" spans="1:18" x14ac:dyDescent="0.25">
      <c r="A48" s="56"/>
      <c r="B48" s="23"/>
      <c r="C48" s="27"/>
      <c r="D48" s="28"/>
      <c r="E48" s="23"/>
      <c r="F48" s="72"/>
      <c r="G48" s="88"/>
      <c r="H48" s="28"/>
      <c r="I48" s="28"/>
      <c r="J48" s="28"/>
      <c r="K48" s="28"/>
      <c r="L48" s="70"/>
      <c r="M48" s="28"/>
      <c r="N48" s="28"/>
      <c r="O48" s="28"/>
      <c r="P48" s="28"/>
      <c r="Q48" s="28"/>
      <c r="R48" s="28"/>
    </row>
    <row r="49" spans="1:18" x14ac:dyDescent="0.25">
      <c r="A49" s="56"/>
      <c r="B49" s="23"/>
      <c r="C49" s="27"/>
      <c r="D49" s="28"/>
      <c r="E49" s="23"/>
      <c r="F49" s="72"/>
      <c r="G49" s="88"/>
      <c r="H49" s="28"/>
      <c r="I49" s="28"/>
      <c r="J49" s="28"/>
      <c r="K49" s="28"/>
      <c r="L49" s="70"/>
      <c r="M49" s="28"/>
      <c r="N49" s="28"/>
      <c r="O49" s="28"/>
      <c r="P49" s="28"/>
      <c r="Q49" s="28"/>
      <c r="R49" s="28"/>
    </row>
    <row r="50" spans="1:18" x14ac:dyDescent="0.25">
      <c r="A50" s="56"/>
      <c r="B50" s="23"/>
      <c r="C50" s="27"/>
      <c r="D50" s="28"/>
      <c r="E50" s="23"/>
      <c r="F50" s="72"/>
      <c r="G50" s="88"/>
      <c r="H50" s="28"/>
      <c r="I50" s="28"/>
      <c r="J50" s="28"/>
      <c r="K50" s="28"/>
      <c r="L50" s="70"/>
      <c r="M50" s="28"/>
      <c r="N50" s="28"/>
      <c r="O50" s="28"/>
      <c r="P50" s="28"/>
      <c r="Q50" s="28"/>
      <c r="R50" s="28"/>
    </row>
    <row r="51" spans="1:18" x14ac:dyDescent="0.25">
      <c r="A51" s="56"/>
      <c r="B51" s="23"/>
      <c r="C51" s="27"/>
      <c r="D51" s="28"/>
      <c r="E51" s="23"/>
      <c r="F51" s="72"/>
      <c r="G51" s="88"/>
      <c r="H51" s="28"/>
      <c r="I51" s="28"/>
      <c r="J51" s="28"/>
      <c r="K51" s="28"/>
      <c r="L51" s="70"/>
      <c r="M51" s="28"/>
      <c r="N51" s="28"/>
      <c r="O51" s="28"/>
      <c r="P51" s="28"/>
      <c r="Q51" s="28"/>
      <c r="R51" s="28"/>
    </row>
    <row r="52" spans="1:18" x14ac:dyDescent="0.25">
      <c r="A52" s="56"/>
      <c r="B52" s="23"/>
      <c r="C52" s="27"/>
      <c r="D52" s="28"/>
      <c r="E52" s="23"/>
      <c r="F52" s="72"/>
      <c r="G52" s="88"/>
      <c r="H52" s="28"/>
      <c r="I52" s="28"/>
      <c r="J52" s="28"/>
      <c r="K52" s="28"/>
      <c r="L52" s="70"/>
      <c r="M52" s="28"/>
      <c r="N52" s="28"/>
      <c r="O52" s="28"/>
      <c r="P52" s="28"/>
      <c r="Q52" s="28"/>
      <c r="R52" s="28"/>
    </row>
    <row r="53" spans="1:18" x14ac:dyDescent="0.25">
      <c r="A53" s="56"/>
      <c r="B53" s="23"/>
      <c r="C53" s="27"/>
      <c r="D53" s="28"/>
      <c r="E53" s="23"/>
      <c r="F53" s="72"/>
      <c r="G53" s="88"/>
      <c r="H53" s="28"/>
      <c r="I53" s="28"/>
      <c r="J53" s="28"/>
      <c r="K53" s="28"/>
      <c r="L53" s="70"/>
      <c r="M53" s="28"/>
      <c r="N53" s="28"/>
      <c r="O53" s="28"/>
      <c r="P53" s="28"/>
      <c r="Q53" s="28"/>
      <c r="R53" s="28"/>
    </row>
    <row r="54" spans="1:18" x14ac:dyDescent="0.25">
      <c r="A54" s="56"/>
      <c r="B54" s="23"/>
      <c r="C54" s="27"/>
      <c r="D54" s="28"/>
      <c r="E54" s="23"/>
      <c r="F54" s="72"/>
      <c r="G54" s="88"/>
      <c r="H54" s="28"/>
      <c r="I54" s="28"/>
      <c r="J54" s="28"/>
      <c r="K54" s="28"/>
      <c r="L54" s="70"/>
      <c r="M54" s="28"/>
      <c r="N54" s="28"/>
      <c r="O54" s="28"/>
      <c r="P54" s="28"/>
      <c r="Q54" s="28"/>
      <c r="R54" s="28"/>
    </row>
    <row r="55" spans="1:18" x14ac:dyDescent="0.25">
      <c r="A55" s="56"/>
      <c r="B55" s="23"/>
      <c r="C55" s="27"/>
      <c r="D55" s="28"/>
      <c r="E55" s="23"/>
      <c r="F55" s="72"/>
      <c r="G55" s="88"/>
      <c r="H55" s="28"/>
      <c r="I55" s="28"/>
      <c r="J55" s="28"/>
      <c r="K55" s="28"/>
      <c r="L55" s="70"/>
      <c r="M55" s="28"/>
      <c r="N55" s="28"/>
      <c r="O55" s="28"/>
      <c r="P55" s="28"/>
      <c r="Q55" s="28"/>
      <c r="R55" s="28"/>
    </row>
    <row r="56" spans="1:18" x14ac:dyDescent="0.25">
      <c r="A56" s="56"/>
      <c r="B56" s="23"/>
      <c r="C56" s="27"/>
      <c r="D56" s="28"/>
      <c r="E56" s="23"/>
      <c r="F56" s="72"/>
      <c r="G56" s="88"/>
      <c r="H56" s="28"/>
      <c r="I56" s="28"/>
      <c r="J56" s="28"/>
      <c r="K56" s="28"/>
      <c r="L56" s="70"/>
      <c r="M56" s="28"/>
      <c r="N56" s="28"/>
      <c r="O56" s="28"/>
      <c r="P56" s="28"/>
      <c r="Q56" s="28"/>
      <c r="R56" s="28"/>
    </row>
    <row r="57" spans="1:18" x14ac:dyDescent="0.25">
      <c r="A57" s="56"/>
      <c r="B57" s="23"/>
      <c r="C57" s="27"/>
      <c r="D57" s="28"/>
      <c r="E57" s="23"/>
      <c r="F57" s="72"/>
      <c r="G57" s="88"/>
      <c r="H57" s="28"/>
      <c r="I57" s="28"/>
      <c r="J57" s="28"/>
      <c r="K57" s="28"/>
      <c r="L57" s="70"/>
      <c r="M57" s="28"/>
      <c r="N57" s="28"/>
      <c r="O57" s="28"/>
      <c r="P57" s="28"/>
      <c r="Q57" s="28"/>
      <c r="R57" s="28"/>
    </row>
    <row r="58" spans="1:18" x14ac:dyDescent="0.25">
      <c r="A58" s="56"/>
      <c r="B58" s="23"/>
      <c r="C58" s="27"/>
      <c r="D58" s="28"/>
      <c r="E58" s="23"/>
      <c r="F58" s="72"/>
      <c r="G58" s="88"/>
      <c r="H58" s="28"/>
      <c r="I58" s="28"/>
      <c r="J58" s="28"/>
      <c r="K58" s="28"/>
      <c r="L58" s="70"/>
      <c r="M58" s="28"/>
      <c r="N58" s="28"/>
      <c r="O58" s="28"/>
      <c r="P58" s="28"/>
      <c r="Q58" s="28"/>
      <c r="R58" s="28"/>
    </row>
    <row r="59" spans="1:18" x14ac:dyDescent="0.25">
      <c r="A59" s="56"/>
      <c r="B59" s="23"/>
      <c r="C59" s="27"/>
      <c r="D59" s="28"/>
      <c r="E59" s="23"/>
      <c r="F59" s="72"/>
      <c r="G59" s="88"/>
      <c r="H59" s="28"/>
      <c r="I59" s="28"/>
      <c r="J59" s="28"/>
      <c r="K59" s="28"/>
      <c r="L59" s="70"/>
      <c r="M59" s="28"/>
      <c r="N59" s="28"/>
      <c r="O59" s="28"/>
      <c r="P59" s="28"/>
      <c r="Q59" s="28"/>
      <c r="R59" s="28"/>
    </row>
    <row r="60" spans="1:18" x14ac:dyDescent="0.25">
      <c r="A60" s="56"/>
      <c r="B60" s="23"/>
      <c r="C60" s="27"/>
      <c r="D60" s="28"/>
      <c r="E60" s="23"/>
      <c r="F60" s="72"/>
      <c r="G60" s="88"/>
      <c r="H60" s="28"/>
      <c r="I60" s="28"/>
      <c r="J60" s="28"/>
      <c r="K60" s="28"/>
      <c r="L60" s="70"/>
      <c r="M60" s="28"/>
      <c r="N60" s="28"/>
      <c r="O60" s="28"/>
      <c r="P60" s="28"/>
      <c r="Q60" s="28"/>
      <c r="R60" s="28"/>
    </row>
    <row r="61" spans="1:18" x14ac:dyDescent="0.25">
      <c r="A61" s="56"/>
      <c r="B61" s="23"/>
      <c r="C61" s="27"/>
      <c r="D61" s="28"/>
      <c r="E61" s="23"/>
      <c r="F61" s="72"/>
      <c r="G61" s="88"/>
      <c r="H61" s="28"/>
      <c r="I61" s="28"/>
      <c r="J61" s="28"/>
      <c r="K61" s="28"/>
      <c r="L61" s="70"/>
      <c r="M61" s="28"/>
      <c r="N61" s="28"/>
      <c r="O61" s="28"/>
      <c r="P61" s="28"/>
      <c r="Q61" s="28"/>
      <c r="R61" s="28"/>
    </row>
    <row r="62" spans="1:18" x14ac:dyDescent="0.25">
      <c r="A62" s="56"/>
      <c r="B62" s="23"/>
      <c r="C62" s="27"/>
      <c r="D62" s="28"/>
      <c r="E62" s="23"/>
      <c r="F62" s="72"/>
      <c r="G62" s="88"/>
      <c r="H62" s="28"/>
      <c r="I62" s="28"/>
      <c r="J62" s="28"/>
      <c r="K62" s="28"/>
      <c r="L62" s="70"/>
      <c r="M62" s="28"/>
      <c r="N62" s="28"/>
      <c r="O62" s="28"/>
      <c r="P62" s="28"/>
      <c r="Q62" s="28"/>
      <c r="R62" s="28"/>
    </row>
    <row r="63" spans="1:18" x14ac:dyDescent="0.25">
      <c r="A63" s="56"/>
      <c r="B63" s="23"/>
      <c r="C63" s="27"/>
      <c r="D63" s="28"/>
      <c r="E63" s="23"/>
      <c r="F63" s="72"/>
      <c r="G63" s="88"/>
      <c r="H63" s="28"/>
      <c r="I63" s="28"/>
      <c r="J63" s="28"/>
      <c r="K63" s="28"/>
      <c r="L63" s="70"/>
      <c r="M63" s="28"/>
      <c r="N63" s="28"/>
      <c r="O63" s="28"/>
      <c r="P63" s="28"/>
      <c r="Q63" s="28"/>
      <c r="R63" s="28"/>
    </row>
    <row r="64" spans="1:18" x14ac:dyDescent="0.25">
      <c r="A64" s="56"/>
      <c r="B64" s="23"/>
      <c r="C64" s="27"/>
      <c r="D64" s="28"/>
      <c r="E64" s="23"/>
      <c r="F64" s="72"/>
      <c r="G64" s="88"/>
      <c r="H64" s="28"/>
      <c r="I64" s="28"/>
      <c r="J64" s="28"/>
      <c r="K64" s="28"/>
      <c r="L64" s="70"/>
      <c r="M64" s="28"/>
      <c r="N64" s="28"/>
      <c r="O64" s="28"/>
      <c r="P64" s="28"/>
      <c r="Q64" s="28"/>
      <c r="R64" s="28"/>
    </row>
    <row r="65" spans="1:18" x14ac:dyDescent="0.25">
      <c r="A65" s="56"/>
      <c r="B65" s="23"/>
      <c r="C65" s="27"/>
      <c r="D65" s="28"/>
      <c r="E65" s="23"/>
      <c r="F65" s="72"/>
      <c r="G65" s="88"/>
      <c r="H65" s="28"/>
      <c r="I65" s="28"/>
      <c r="J65" s="28"/>
      <c r="K65" s="28"/>
      <c r="L65" s="70"/>
      <c r="M65" s="28"/>
      <c r="N65" s="28"/>
      <c r="O65" s="28"/>
      <c r="P65" s="28"/>
      <c r="Q65" s="28"/>
      <c r="R65" s="28"/>
    </row>
    <row r="66" spans="1:18" x14ac:dyDescent="0.25">
      <c r="A66" s="56"/>
      <c r="B66" s="23"/>
      <c r="C66" s="27"/>
      <c r="D66" s="28"/>
      <c r="E66" s="23"/>
      <c r="F66" s="72"/>
      <c r="G66" s="88"/>
      <c r="H66" s="28"/>
      <c r="I66" s="28"/>
      <c r="J66" s="28"/>
      <c r="K66" s="28"/>
      <c r="L66" s="70"/>
      <c r="M66" s="28"/>
      <c r="N66" s="28"/>
      <c r="O66" s="28"/>
      <c r="P66" s="28"/>
      <c r="Q66" s="28"/>
      <c r="R66" s="28"/>
    </row>
    <row r="67" spans="1:18" x14ac:dyDescent="0.25">
      <c r="A67" s="56"/>
      <c r="B67" s="23"/>
      <c r="C67" s="27"/>
      <c r="D67" s="28"/>
      <c r="E67" s="23"/>
      <c r="F67" s="72"/>
      <c r="G67" s="88"/>
      <c r="H67" s="28"/>
      <c r="I67" s="28"/>
      <c r="J67" s="28"/>
      <c r="K67" s="28"/>
      <c r="L67" s="70"/>
      <c r="M67" s="28"/>
      <c r="N67" s="28"/>
      <c r="O67" s="28"/>
      <c r="P67" s="28"/>
      <c r="Q67" s="28"/>
      <c r="R67" s="28"/>
    </row>
    <row r="68" spans="1:18" x14ac:dyDescent="0.25">
      <c r="A68" s="56"/>
      <c r="B68" s="23"/>
      <c r="C68" s="27"/>
      <c r="D68" s="28"/>
      <c r="E68" s="23"/>
      <c r="F68" s="72"/>
      <c r="G68" s="88"/>
      <c r="H68" s="28"/>
      <c r="I68" s="28"/>
      <c r="J68" s="28"/>
      <c r="K68" s="28"/>
      <c r="L68" s="70"/>
      <c r="M68" s="28"/>
      <c r="N68" s="28"/>
      <c r="O68" s="28"/>
      <c r="P68" s="28"/>
      <c r="Q68" s="28"/>
      <c r="R68" s="28"/>
    </row>
    <row r="69" spans="1:18" x14ac:dyDescent="0.25">
      <c r="A69" s="56"/>
      <c r="B69" s="23"/>
      <c r="C69" s="27"/>
      <c r="D69" s="28"/>
      <c r="E69" s="23"/>
      <c r="F69" s="72"/>
      <c r="G69" s="88"/>
      <c r="H69" s="28"/>
      <c r="I69" s="28"/>
      <c r="J69" s="28"/>
      <c r="K69" s="28"/>
      <c r="L69" s="70"/>
      <c r="M69" s="28"/>
      <c r="N69" s="28"/>
      <c r="O69" s="28"/>
      <c r="P69" s="28"/>
      <c r="Q69" s="28"/>
      <c r="R69" s="28"/>
    </row>
    <row r="70" spans="1:18" x14ac:dyDescent="0.25">
      <c r="A70" s="56"/>
      <c r="B70" s="23"/>
      <c r="C70" s="27"/>
      <c r="D70" s="28"/>
      <c r="E70" s="23"/>
      <c r="F70" s="72"/>
      <c r="G70" s="88"/>
      <c r="H70" s="28"/>
      <c r="I70" s="28"/>
      <c r="J70" s="28"/>
      <c r="K70" s="28"/>
      <c r="L70" s="70"/>
      <c r="M70" s="28"/>
      <c r="N70" s="28"/>
      <c r="O70" s="28"/>
      <c r="P70" s="28"/>
      <c r="Q70" s="28"/>
      <c r="R70" s="28"/>
    </row>
    <row r="71" spans="1:18" x14ac:dyDescent="0.25">
      <c r="A71" s="56"/>
      <c r="B71" s="23"/>
      <c r="C71" s="27"/>
      <c r="D71" s="28"/>
      <c r="E71" s="23"/>
      <c r="F71" s="72"/>
      <c r="G71" s="88"/>
      <c r="H71" s="28"/>
      <c r="I71" s="28"/>
      <c r="J71" s="28"/>
      <c r="K71" s="28"/>
      <c r="L71" s="70"/>
      <c r="M71" s="28"/>
      <c r="N71" s="28"/>
      <c r="O71" s="28"/>
      <c r="P71" s="28"/>
      <c r="Q71" s="28"/>
      <c r="R71" s="28"/>
    </row>
    <row r="72" spans="1:18" x14ac:dyDescent="0.25">
      <c r="A72" s="56"/>
      <c r="B72" s="23"/>
      <c r="C72" s="27"/>
      <c r="D72" s="28"/>
      <c r="E72" s="23"/>
      <c r="F72" s="72"/>
      <c r="G72" s="88"/>
      <c r="H72" s="28"/>
      <c r="I72" s="28"/>
      <c r="J72" s="28"/>
      <c r="K72" s="28"/>
      <c r="L72" s="70"/>
      <c r="M72" s="28"/>
      <c r="N72" s="28"/>
      <c r="O72" s="28"/>
      <c r="P72" s="28"/>
      <c r="Q72" s="28"/>
      <c r="R72" s="28"/>
    </row>
    <row r="73" spans="1:18" x14ac:dyDescent="0.25">
      <c r="A73" s="56"/>
      <c r="B73" s="23"/>
      <c r="C73" s="27"/>
      <c r="D73" s="28"/>
      <c r="E73" s="23"/>
      <c r="F73" s="72"/>
      <c r="G73" s="88"/>
      <c r="H73" s="28"/>
      <c r="I73" s="28"/>
      <c r="J73" s="28"/>
      <c r="K73" s="28"/>
      <c r="L73" s="70"/>
      <c r="M73" s="28"/>
      <c r="N73" s="28"/>
      <c r="O73" s="28"/>
      <c r="P73" s="28"/>
      <c r="Q73" s="28"/>
      <c r="R73" s="28"/>
    </row>
    <row r="74" spans="1:18" x14ac:dyDescent="0.25">
      <c r="A74" s="56"/>
      <c r="B74" s="23"/>
      <c r="C74" s="27"/>
      <c r="D74" s="28"/>
      <c r="E74" s="23"/>
      <c r="F74" s="72"/>
      <c r="G74" s="88"/>
      <c r="H74" s="28"/>
      <c r="I74" s="28"/>
      <c r="J74" s="28"/>
      <c r="K74" s="28"/>
      <c r="L74" s="70"/>
      <c r="M74" s="28"/>
      <c r="N74" s="28"/>
      <c r="O74" s="28"/>
      <c r="P74" s="28"/>
      <c r="Q74" s="28"/>
      <c r="R74" s="28"/>
    </row>
    <row r="75" spans="1:18" x14ac:dyDescent="0.25">
      <c r="A75" s="56"/>
      <c r="B75" s="23"/>
      <c r="C75" s="27"/>
      <c r="D75" s="28"/>
      <c r="E75" s="23"/>
      <c r="F75" s="72"/>
      <c r="G75" s="88"/>
      <c r="H75" s="28"/>
      <c r="I75" s="28"/>
      <c r="J75" s="28"/>
      <c r="K75" s="28"/>
      <c r="L75" s="70"/>
      <c r="M75" s="28"/>
      <c r="N75" s="28"/>
      <c r="O75" s="28"/>
      <c r="P75" s="28"/>
      <c r="Q75" s="28"/>
      <c r="R75" s="28"/>
    </row>
    <row r="76" spans="1:18" x14ac:dyDescent="0.25">
      <c r="A76" s="56"/>
      <c r="B76" s="23"/>
      <c r="C76" s="27"/>
      <c r="D76" s="28"/>
      <c r="E76" s="23"/>
      <c r="F76" s="72"/>
      <c r="G76" s="88"/>
      <c r="H76" s="28"/>
      <c r="I76" s="28"/>
      <c r="J76" s="28"/>
      <c r="K76" s="28"/>
      <c r="L76" s="70"/>
      <c r="M76" s="28"/>
      <c r="N76" s="28"/>
      <c r="O76" s="28"/>
      <c r="P76" s="28"/>
      <c r="Q76" s="28"/>
      <c r="R76" s="28"/>
    </row>
    <row r="77" spans="1:18" x14ac:dyDescent="0.25">
      <c r="A77" s="56"/>
      <c r="B77" s="23"/>
      <c r="C77" s="27"/>
      <c r="D77" s="28"/>
      <c r="E77" s="23"/>
      <c r="F77" s="72"/>
      <c r="G77" s="88"/>
      <c r="H77" s="28"/>
      <c r="I77" s="28"/>
      <c r="J77" s="28"/>
      <c r="K77" s="28"/>
      <c r="L77" s="70"/>
      <c r="M77" s="28"/>
      <c r="N77" s="28"/>
      <c r="O77" s="28"/>
      <c r="P77" s="28"/>
      <c r="Q77" s="28"/>
      <c r="R77" s="28"/>
    </row>
    <row r="78" spans="1:18" x14ac:dyDescent="0.25">
      <c r="A78" s="56"/>
      <c r="B78" s="23"/>
      <c r="C78" s="27"/>
      <c r="D78" s="28"/>
      <c r="E78" s="23"/>
      <c r="F78" s="72"/>
      <c r="G78" s="88"/>
      <c r="H78" s="28"/>
      <c r="I78" s="28"/>
      <c r="J78" s="28"/>
      <c r="K78" s="28"/>
      <c r="L78" s="70"/>
      <c r="M78" s="28"/>
      <c r="N78" s="28"/>
      <c r="O78" s="28"/>
      <c r="P78" s="28"/>
      <c r="Q78" s="28"/>
      <c r="R78" s="28"/>
    </row>
    <row r="79" spans="1:18" x14ac:dyDescent="0.25">
      <c r="A79" s="56"/>
      <c r="B79" s="23"/>
      <c r="C79" s="27"/>
      <c r="D79" s="28"/>
      <c r="E79" s="23"/>
      <c r="F79" s="72"/>
      <c r="G79" s="88"/>
      <c r="H79" s="28"/>
      <c r="I79" s="28"/>
      <c r="J79" s="28"/>
      <c r="K79" s="28"/>
      <c r="L79" s="70"/>
      <c r="M79" s="28"/>
      <c r="N79" s="28"/>
      <c r="O79" s="28"/>
      <c r="P79" s="28"/>
      <c r="Q79" s="28"/>
      <c r="R79" s="28"/>
    </row>
    <row r="80" spans="1:18" x14ac:dyDescent="0.25">
      <c r="A80" s="56"/>
      <c r="B80" s="23"/>
      <c r="C80" s="27"/>
      <c r="D80" s="28"/>
      <c r="E80" s="23"/>
      <c r="F80" s="72"/>
      <c r="G80" s="88"/>
      <c r="H80" s="28"/>
      <c r="I80" s="28"/>
      <c r="J80" s="28"/>
      <c r="K80" s="28"/>
      <c r="L80" s="70"/>
      <c r="M80" s="28"/>
      <c r="N80" s="28"/>
      <c r="O80" s="28"/>
      <c r="P80" s="28"/>
      <c r="Q80" s="28"/>
      <c r="R80" s="28"/>
    </row>
    <row r="81" spans="1:18" x14ac:dyDescent="0.25">
      <c r="A81" s="56"/>
      <c r="B81" s="23"/>
      <c r="C81" s="27"/>
      <c r="D81" s="28"/>
      <c r="E81" s="23"/>
      <c r="F81" s="72"/>
      <c r="G81" s="88"/>
      <c r="H81" s="28"/>
      <c r="I81" s="28"/>
      <c r="J81" s="28"/>
      <c r="K81" s="28"/>
      <c r="L81" s="70"/>
      <c r="M81" s="28"/>
      <c r="N81" s="28"/>
      <c r="O81" s="28"/>
      <c r="P81" s="28"/>
      <c r="Q81" s="28"/>
      <c r="R81" s="28"/>
    </row>
    <row r="82" spans="1:18" x14ac:dyDescent="0.25">
      <c r="A82" s="56"/>
      <c r="B82" s="23"/>
      <c r="C82" s="27"/>
      <c r="D82" s="28"/>
      <c r="E82" s="23"/>
      <c r="F82" s="72"/>
      <c r="G82" s="88"/>
      <c r="H82" s="28"/>
      <c r="I82" s="28"/>
      <c r="J82" s="28"/>
      <c r="K82" s="28"/>
      <c r="L82" s="70"/>
      <c r="M82" s="28"/>
      <c r="N82" s="28"/>
      <c r="O82" s="28"/>
      <c r="P82" s="28"/>
      <c r="Q82" s="28"/>
      <c r="R82" s="28"/>
    </row>
    <row r="83" spans="1:18" x14ac:dyDescent="0.25">
      <c r="A83" s="56"/>
      <c r="B83" s="23"/>
      <c r="C83" s="27"/>
      <c r="D83" s="28"/>
      <c r="E83" s="23"/>
      <c r="F83" s="72"/>
      <c r="G83" s="88"/>
      <c r="H83" s="28"/>
      <c r="I83" s="28"/>
      <c r="J83" s="28"/>
      <c r="K83" s="28"/>
      <c r="L83" s="70"/>
      <c r="M83" s="28"/>
      <c r="N83" s="28"/>
      <c r="O83" s="28"/>
      <c r="P83" s="28"/>
      <c r="Q83" s="28"/>
      <c r="R83" s="28"/>
    </row>
    <row r="84" spans="1:18" x14ac:dyDescent="0.25">
      <c r="A84" s="56"/>
      <c r="B84" s="23"/>
      <c r="C84" s="27"/>
      <c r="D84" s="28"/>
      <c r="E84" s="23"/>
      <c r="F84" s="72"/>
      <c r="G84" s="88"/>
      <c r="H84" s="28"/>
      <c r="I84" s="28"/>
      <c r="J84" s="28"/>
      <c r="K84" s="28"/>
      <c r="L84" s="70"/>
      <c r="M84" s="28"/>
      <c r="N84" s="28"/>
      <c r="O84" s="28"/>
      <c r="P84" s="28"/>
      <c r="Q84" s="28"/>
      <c r="R84" s="28"/>
    </row>
    <row r="85" spans="1:18" x14ac:dyDescent="0.25">
      <c r="A85" s="56"/>
      <c r="B85" s="23"/>
      <c r="C85" s="27"/>
      <c r="D85" s="28"/>
      <c r="E85" s="23"/>
      <c r="F85" s="72"/>
      <c r="G85" s="88"/>
      <c r="H85" s="28"/>
      <c r="I85" s="28"/>
      <c r="J85" s="28"/>
      <c r="K85" s="28"/>
      <c r="L85" s="70"/>
      <c r="M85" s="28"/>
      <c r="N85" s="28"/>
      <c r="O85" s="28"/>
      <c r="P85" s="28"/>
      <c r="Q85" s="28"/>
      <c r="R85" s="28"/>
    </row>
    <row r="86" spans="1:18" x14ac:dyDescent="0.25">
      <c r="A86" s="56"/>
      <c r="B86" s="23"/>
      <c r="C86" s="27"/>
      <c r="D86" s="28"/>
      <c r="E86" s="23"/>
      <c r="F86" s="72"/>
      <c r="G86" s="88"/>
      <c r="H86" s="28"/>
      <c r="I86" s="28"/>
      <c r="J86" s="28"/>
      <c r="K86" s="28"/>
      <c r="L86" s="70"/>
      <c r="M86" s="28"/>
      <c r="N86" s="28"/>
      <c r="O86" s="28"/>
      <c r="P86" s="28"/>
      <c r="Q86" s="28"/>
      <c r="R86" s="28"/>
    </row>
    <row r="87" spans="1:18" x14ac:dyDescent="0.25">
      <c r="A87" s="56"/>
      <c r="B87" s="23"/>
      <c r="C87" s="27"/>
      <c r="D87" s="28"/>
      <c r="E87" s="23"/>
      <c r="F87" s="72"/>
      <c r="G87" s="88"/>
      <c r="H87" s="28"/>
      <c r="I87" s="28"/>
      <c r="J87" s="28"/>
      <c r="K87" s="28"/>
      <c r="L87" s="70"/>
      <c r="M87" s="28"/>
      <c r="N87" s="28"/>
      <c r="O87" s="28"/>
      <c r="P87" s="28"/>
      <c r="Q87" s="28"/>
      <c r="R87" s="28"/>
    </row>
    <row r="88" spans="1:18" x14ac:dyDescent="0.25">
      <c r="A88" s="56"/>
      <c r="B88" s="23"/>
      <c r="C88" s="27"/>
      <c r="D88" s="28"/>
      <c r="E88" s="23"/>
      <c r="F88" s="72"/>
      <c r="G88" s="88"/>
      <c r="H88" s="28"/>
      <c r="I88" s="28"/>
      <c r="J88" s="28"/>
      <c r="K88" s="28"/>
      <c r="L88" s="70"/>
      <c r="M88" s="28"/>
      <c r="N88" s="28"/>
      <c r="O88" s="28"/>
      <c r="P88" s="28"/>
      <c r="Q88" s="28"/>
      <c r="R88" s="28"/>
    </row>
    <row r="89" spans="1:18" x14ac:dyDescent="0.25">
      <c r="A89" s="56"/>
      <c r="B89" s="23"/>
      <c r="C89" s="27"/>
      <c r="D89" s="28"/>
      <c r="E89" s="23"/>
      <c r="F89" s="72"/>
      <c r="G89" s="88"/>
      <c r="H89" s="28"/>
      <c r="I89" s="28"/>
      <c r="J89" s="28"/>
      <c r="K89" s="28"/>
      <c r="L89" s="70"/>
      <c r="M89" s="28"/>
      <c r="N89" s="28"/>
      <c r="O89" s="28"/>
      <c r="P89" s="28"/>
      <c r="Q89" s="28"/>
      <c r="R89" s="28"/>
    </row>
    <row r="90" spans="1:18" x14ac:dyDescent="0.25">
      <c r="A90" s="56"/>
      <c r="B90" s="23"/>
      <c r="C90" s="27"/>
      <c r="D90" s="28"/>
      <c r="E90" s="23"/>
      <c r="F90" s="72"/>
      <c r="G90" s="88"/>
      <c r="H90" s="28"/>
      <c r="I90" s="28"/>
      <c r="J90" s="28"/>
      <c r="K90" s="28"/>
      <c r="L90" s="70"/>
      <c r="M90" s="28"/>
      <c r="N90" s="28"/>
      <c r="O90" s="28"/>
      <c r="P90" s="28"/>
      <c r="Q90" s="28"/>
      <c r="R90" s="28"/>
    </row>
    <row r="91" spans="1:18" x14ac:dyDescent="0.25">
      <c r="A91" s="56"/>
      <c r="B91" s="23"/>
      <c r="C91" s="27"/>
      <c r="D91" s="28"/>
      <c r="E91" s="23"/>
      <c r="F91" s="72"/>
      <c r="G91" s="88"/>
      <c r="H91" s="28"/>
      <c r="I91" s="28"/>
      <c r="J91" s="28"/>
      <c r="K91" s="28"/>
      <c r="L91" s="70"/>
      <c r="M91" s="28"/>
      <c r="N91" s="28"/>
      <c r="O91" s="28"/>
      <c r="P91" s="28"/>
      <c r="Q91" s="28"/>
      <c r="R91" s="28"/>
    </row>
    <row r="92" spans="1:18" x14ac:dyDescent="0.25">
      <c r="A92" s="56"/>
      <c r="B92" s="23"/>
      <c r="C92" s="27"/>
      <c r="D92" s="28"/>
      <c r="E92" s="23"/>
      <c r="F92" s="72"/>
      <c r="G92" s="88"/>
      <c r="H92" s="28"/>
      <c r="I92" s="28"/>
      <c r="J92" s="28"/>
      <c r="K92" s="28"/>
      <c r="L92" s="70"/>
      <c r="M92" s="28"/>
      <c r="N92" s="28"/>
      <c r="O92" s="28"/>
      <c r="P92" s="28"/>
      <c r="Q92" s="28"/>
      <c r="R92" s="28"/>
    </row>
    <row r="93" spans="1:18" x14ac:dyDescent="0.25">
      <c r="A93" s="56"/>
      <c r="B93" s="23"/>
      <c r="C93" s="27"/>
      <c r="D93" s="28"/>
      <c r="E93" s="23"/>
      <c r="F93" s="72"/>
      <c r="G93" s="88"/>
      <c r="H93" s="28"/>
      <c r="I93" s="28"/>
      <c r="J93" s="28"/>
      <c r="K93" s="28"/>
      <c r="L93" s="70"/>
      <c r="M93" s="28"/>
      <c r="N93" s="28"/>
      <c r="O93" s="28"/>
      <c r="P93" s="28"/>
      <c r="Q93" s="28"/>
      <c r="R93" s="28"/>
    </row>
    <row r="94" spans="1:18" x14ac:dyDescent="0.25">
      <c r="A94" s="56"/>
      <c r="B94" s="23"/>
      <c r="C94" s="27"/>
      <c r="D94" s="28"/>
      <c r="E94" s="23"/>
      <c r="F94" s="72"/>
      <c r="G94" s="88"/>
      <c r="H94" s="28"/>
      <c r="I94" s="28"/>
      <c r="J94" s="28"/>
      <c r="K94" s="28"/>
      <c r="L94" s="70"/>
      <c r="M94" s="28"/>
      <c r="N94" s="28"/>
      <c r="O94" s="28"/>
      <c r="P94" s="28"/>
      <c r="Q94" s="28"/>
      <c r="R94" s="28"/>
    </row>
    <row r="95" spans="1:18" x14ac:dyDescent="0.25">
      <c r="A95" s="56"/>
      <c r="B95" s="23"/>
      <c r="C95" s="27"/>
      <c r="D95" s="28"/>
      <c r="E95" s="23"/>
      <c r="F95" s="72"/>
      <c r="G95" s="88"/>
      <c r="H95" s="28"/>
      <c r="I95" s="28"/>
      <c r="J95" s="28"/>
      <c r="K95" s="28"/>
      <c r="L95" s="70"/>
      <c r="M95" s="28"/>
      <c r="N95" s="28"/>
      <c r="O95" s="28"/>
      <c r="P95" s="28"/>
      <c r="Q95" s="28"/>
      <c r="R95" s="28"/>
    </row>
    <row r="96" spans="1:18" x14ac:dyDescent="0.25">
      <c r="A96" s="56"/>
      <c r="B96" s="23"/>
      <c r="C96" s="27"/>
      <c r="D96" s="28"/>
      <c r="E96" s="23"/>
      <c r="F96" s="72"/>
      <c r="G96" s="88"/>
      <c r="H96" s="28"/>
      <c r="I96" s="28"/>
      <c r="J96" s="28"/>
      <c r="K96" s="28"/>
      <c r="L96" s="70"/>
      <c r="M96" s="28"/>
      <c r="N96" s="28"/>
      <c r="O96" s="28"/>
      <c r="P96" s="28"/>
      <c r="Q96" s="28"/>
      <c r="R96" s="28"/>
    </row>
    <row r="97" spans="1:18" x14ac:dyDescent="0.25">
      <c r="A97" s="56"/>
      <c r="B97" s="23"/>
      <c r="C97" s="27"/>
      <c r="D97" s="28"/>
      <c r="E97" s="23"/>
      <c r="F97" s="72"/>
      <c r="G97" s="88"/>
      <c r="H97" s="28"/>
      <c r="I97" s="28"/>
      <c r="J97" s="28"/>
      <c r="K97" s="28"/>
      <c r="L97" s="70"/>
      <c r="M97" s="28"/>
      <c r="N97" s="28"/>
      <c r="O97" s="28"/>
      <c r="P97" s="28"/>
      <c r="Q97" s="28"/>
      <c r="R97" s="28"/>
    </row>
    <row r="98" spans="1:18" x14ac:dyDescent="0.25">
      <c r="A98" s="56"/>
      <c r="B98" s="23"/>
      <c r="C98" s="27"/>
      <c r="D98" s="28"/>
      <c r="E98" s="23"/>
      <c r="F98" s="72"/>
      <c r="G98" s="88"/>
      <c r="H98" s="28"/>
      <c r="I98" s="28"/>
      <c r="J98" s="28"/>
      <c r="K98" s="28"/>
      <c r="L98" s="70"/>
      <c r="M98" s="28"/>
      <c r="N98" s="28"/>
      <c r="O98" s="28"/>
      <c r="P98" s="28"/>
      <c r="Q98" s="28"/>
      <c r="R98" s="28"/>
    </row>
    <row r="99" spans="1:18" x14ac:dyDescent="0.25">
      <c r="A99" s="56"/>
      <c r="B99" s="23"/>
      <c r="C99" s="27"/>
      <c r="D99" s="28"/>
      <c r="E99" s="23"/>
      <c r="F99" s="72"/>
      <c r="G99" s="88"/>
      <c r="H99" s="28"/>
      <c r="I99" s="28"/>
      <c r="J99" s="28"/>
      <c r="K99" s="28"/>
      <c r="L99" s="70"/>
      <c r="M99" s="28"/>
      <c r="N99" s="28"/>
      <c r="O99" s="28"/>
      <c r="P99" s="28"/>
      <c r="Q99" s="28"/>
      <c r="R99" s="28"/>
    </row>
    <row r="100" spans="1:18" x14ac:dyDescent="0.25">
      <c r="A100" s="56"/>
      <c r="B100" s="23"/>
      <c r="C100" s="27"/>
      <c r="D100" s="28"/>
      <c r="E100" s="23"/>
      <c r="F100" s="72"/>
      <c r="G100" s="88"/>
      <c r="H100" s="28"/>
      <c r="I100" s="28"/>
      <c r="J100" s="28"/>
      <c r="K100" s="28"/>
      <c r="L100" s="70"/>
      <c r="M100" s="28"/>
      <c r="N100" s="28"/>
      <c r="O100" s="28"/>
      <c r="P100" s="28"/>
      <c r="Q100" s="28"/>
      <c r="R100" s="28"/>
    </row>
  </sheetData>
  <autoFilter ref="A15:F26"/>
  <customSheetViews>
    <customSheetView guid="{A256185D-3FED-4216-9EB5-F7E7AD436EE2}" scale="80" showGridLines="0" fitToPage="1" showAutoFilter="1" hiddenRows="1">
      <selection activeCell="E16" sqref="E16"/>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 guid="{C1DE02DC-85CC-4A1E-B2FE-5BA1C75D8607}" scale="80" showGridLines="0" fitToPage="1" showAutoFilter="1" hiddenRows="1" topLeftCell="A16">
      <selection activeCell="C18" sqref="C18"/>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5:F26"/>
    </customSheetView>
    <customSheetView guid="{2AD4F69B-2293-4CEA-BBDE-54830C532392}" scale="80" showGridLines="0" fitToPage="1" showAutoFilter="1" hiddenRows="1">
      <selection activeCell="E16" sqref="E16"/>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5:F26"/>
    </customSheetView>
  </customSheetViews>
  <conditionalFormatting sqref="F26:F100">
    <cfRule type="cellIs" dxfId="11" priority="12" operator="equal">
      <formula>NEI</formula>
    </cfRule>
  </conditionalFormatting>
  <conditionalFormatting sqref="F26:F100">
    <cfRule type="cellIs" dxfId="10" priority="11" operator="equal">
      <formula>"JA"</formula>
    </cfRule>
  </conditionalFormatting>
  <conditionalFormatting sqref="F26:F100">
    <cfRule type="cellIs" dxfId="9" priority="8" operator="equal">
      <formula>"NEI"</formula>
    </cfRule>
    <cfRule type="cellIs" dxfId="8" priority="9" operator="equal">
      <formula>"JA"</formula>
    </cfRule>
    <cfRule type="cellIs" dxfId="7" priority="10" operator="equal">
      <formula>"JA"</formula>
    </cfRule>
  </conditionalFormatting>
  <conditionalFormatting sqref="G16:G19">
    <cfRule type="cellIs" dxfId="6" priority="7" operator="equal">
      <formula>NEI</formula>
    </cfRule>
  </conditionalFormatting>
  <conditionalFormatting sqref="G16:G19">
    <cfRule type="cellIs" dxfId="5" priority="6" operator="equal">
      <formula>"JA"</formula>
    </cfRule>
  </conditionalFormatting>
  <conditionalFormatting sqref="G16:G19">
    <cfRule type="cellIs" dxfId="4" priority="3" operator="equal">
      <formula>"NEI"</formula>
    </cfRule>
    <cfRule type="cellIs" dxfId="3" priority="4" operator="equal">
      <formula>"JA"</formula>
    </cfRule>
    <cfRule type="cellIs" dxfId="2" priority="5" operator="equal">
      <formula>"JA"</formula>
    </cfRule>
  </conditionalFormatting>
  <conditionalFormatting sqref="D16:D100">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O32"/>
  <sheetViews>
    <sheetView showGridLines="0" workbookViewId="0">
      <selection activeCell="A4" sqref="A4"/>
    </sheetView>
  </sheetViews>
  <sheetFormatPr baseColWidth="10" defaultColWidth="18.7109375" defaultRowHeight="15" x14ac:dyDescent="0.25"/>
  <cols>
    <col min="1" max="1" width="63.7109375" customWidth="1"/>
    <col min="2" max="2" width="12.5703125" bestFit="1" customWidth="1"/>
    <col min="3" max="3" width="17.42578125" customWidth="1"/>
    <col min="4" max="4" width="12" customWidth="1"/>
    <col min="5" max="11" width="5.42578125" bestFit="1" customWidth="1"/>
    <col min="12" max="15" width="7.140625" bestFit="1" customWidth="1"/>
  </cols>
  <sheetData>
    <row r="1" spans="1:15" ht="23.25" x14ac:dyDescent="0.35">
      <c r="A1" s="126"/>
      <c r="B1" s="127"/>
      <c r="C1" s="127"/>
      <c r="D1" s="128"/>
      <c r="E1" s="129" t="s">
        <v>112</v>
      </c>
      <c r="F1" s="130"/>
      <c r="G1" s="130"/>
      <c r="H1" s="130"/>
      <c r="I1" s="130"/>
      <c r="J1" s="130"/>
      <c r="K1" s="130"/>
      <c r="L1" s="130"/>
      <c r="M1" s="130"/>
      <c r="N1" s="130"/>
      <c r="O1" s="131"/>
    </row>
    <row r="2" spans="1:15" ht="23.25" x14ac:dyDescent="0.35">
      <c r="A2" s="121" t="s">
        <v>113</v>
      </c>
      <c r="B2" s="121" t="s">
        <v>123</v>
      </c>
      <c r="C2" s="121" t="s">
        <v>114</v>
      </c>
      <c r="D2" s="121" t="s">
        <v>115</v>
      </c>
      <c r="E2" s="121" t="s">
        <v>33</v>
      </c>
      <c r="F2" s="121" t="s">
        <v>34</v>
      </c>
      <c r="G2" s="121" t="s">
        <v>35</v>
      </c>
      <c r="H2" s="121" t="s">
        <v>36</v>
      </c>
      <c r="I2" s="121" t="s">
        <v>37</v>
      </c>
      <c r="J2" s="121" t="s">
        <v>38</v>
      </c>
      <c r="K2" s="121" t="s">
        <v>39</v>
      </c>
      <c r="L2" s="121" t="s">
        <v>40</v>
      </c>
      <c r="M2" s="121" t="s">
        <v>41</v>
      </c>
      <c r="N2" s="121" t="s">
        <v>86</v>
      </c>
      <c r="O2" s="121" t="s">
        <v>87</v>
      </c>
    </row>
    <row r="3" spans="1:15" ht="31.5" x14ac:dyDescent="0.25">
      <c r="A3" s="92" t="s">
        <v>117</v>
      </c>
      <c r="B3" s="92" t="s">
        <v>124</v>
      </c>
      <c r="C3" s="2"/>
      <c r="D3" s="2"/>
      <c r="E3" s="2" t="s">
        <v>116</v>
      </c>
      <c r="F3" s="2"/>
      <c r="G3" s="2"/>
      <c r="H3" s="2" t="s">
        <v>116</v>
      </c>
      <c r="I3" s="90"/>
      <c r="J3" s="2"/>
      <c r="K3" s="2"/>
      <c r="L3" s="2" t="s">
        <v>116</v>
      </c>
      <c r="M3" s="7"/>
      <c r="N3" s="90"/>
      <c r="O3" s="2"/>
    </row>
    <row r="4" spans="1:15" ht="47.25" x14ac:dyDescent="0.25">
      <c r="A4" s="92" t="s">
        <v>118</v>
      </c>
      <c r="B4" s="92" t="s">
        <v>124</v>
      </c>
      <c r="C4" s="2"/>
      <c r="D4" s="2"/>
      <c r="E4" s="2" t="s">
        <v>116</v>
      </c>
      <c r="F4" s="2"/>
      <c r="G4" s="2"/>
      <c r="H4" s="2" t="s">
        <v>116</v>
      </c>
      <c r="I4" s="90"/>
      <c r="J4" s="2"/>
      <c r="K4" s="2"/>
      <c r="L4" s="2"/>
      <c r="M4" s="7" t="s">
        <v>116</v>
      </c>
      <c r="N4" s="90"/>
      <c r="O4" s="2"/>
    </row>
    <row r="5" spans="1:15" ht="47.25" x14ac:dyDescent="0.25">
      <c r="A5" s="92" t="s">
        <v>119</v>
      </c>
      <c r="B5" s="92" t="s">
        <v>124</v>
      </c>
      <c r="C5" s="2"/>
      <c r="D5" s="2"/>
      <c r="E5" s="2" t="s">
        <v>116</v>
      </c>
      <c r="F5" s="2"/>
      <c r="G5" s="2"/>
      <c r="H5" s="2" t="s">
        <v>116</v>
      </c>
      <c r="I5" s="90"/>
      <c r="J5" s="2"/>
      <c r="K5" s="2"/>
      <c r="L5" s="2"/>
      <c r="M5" s="7"/>
      <c r="N5" s="93"/>
      <c r="O5" s="2" t="s">
        <v>116</v>
      </c>
    </row>
    <row r="6" spans="1:15" ht="47.25" x14ac:dyDescent="0.25">
      <c r="A6" s="92" t="s">
        <v>120</v>
      </c>
      <c r="B6" s="92" t="s">
        <v>124</v>
      </c>
      <c r="C6" s="2"/>
      <c r="D6" s="2"/>
      <c r="E6" s="2" t="s">
        <v>116</v>
      </c>
      <c r="F6" s="2"/>
      <c r="G6" s="2"/>
      <c r="H6" s="2"/>
      <c r="I6" s="90"/>
      <c r="J6" s="2" t="s">
        <v>116</v>
      </c>
      <c r="K6" s="2"/>
      <c r="L6" s="2" t="s">
        <v>116</v>
      </c>
      <c r="M6" s="7"/>
      <c r="N6" s="90"/>
      <c r="O6" s="2"/>
    </row>
    <row r="7" spans="1:15" ht="47.25" x14ac:dyDescent="0.25">
      <c r="A7" s="92" t="s">
        <v>121</v>
      </c>
      <c r="B7" s="92" t="s">
        <v>124</v>
      </c>
      <c r="C7" s="2"/>
      <c r="D7" s="2"/>
      <c r="E7" s="2" t="s">
        <v>116</v>
      </c>
      <c r="F7" s="2"/>
      <c r="G7" s="2"/>
      <c r="H7" s="2"/>
      <c r="I7" s="90"/>
      <c r="J7" s="2" t="s">
        <v>116</v>
      </c>
      <c r="K7" s="2"/>
      <c r="L7" s="2"/>
      <c r="M7" s="7" t="s">
        <v>116</v>
      </c>
      <c r="N7" s="90"/>
      <c r="O7" s="2"/>
    </row>
    <row r="8" spans="1:15" ht="47.25" x14ac:dyDescent="0.25">
      <c r="A8" s="92" t="s">
        <v>120</v>
      </c>
      <c r="B8" s="92" t="s">
        <v>124</v>
      </c>
      <c r="C8" s="2"/>
      <c r="D8" s="2"/>
      <c r="E8" s="2" t="s">
        <v>116</v>
      </c>
      <c r="F8" s="2"/>
      <c r="G8" s="2"/>
      <c r="H8" s="2"/>
      <c r="I8" s="90"/>
      <c r="J8" s="2" t="s">
        <v>116</v>
      </c>
      <c r="K8" s="2"/>
      <c r="L8" s="2"/>
      <c r="M8" s="7"/>
      <c r="N8" s="90"/>
      <c r="O8" s="2" t="s">
        <v>116</v>
      </c>
    </row>
    <row r="9" spans="1:15" ht="47.25" x14ac:dyDescent="0.25">
      <c r="A9" s="92" t="s">
        <v>120</v>
      </c>
      <c r="B9" s="92" t="s">
        <v>124</v>
      </c>
      <c r="C9" s="2"/>
      <c r="D9" s="2"/>
      <c r="E9" s="2" t="s">
        <v>116</v>
      </c>
      <c r="F9" s="2"/>
      <c r="G9" s="2"/>
      <c r="H9" s="2"/>
      <c r="I9" s="90"/>
      <c r="J9" s="2"/>
      <c r="K9" s="2" t="s">
        <v>116</v>
      </c>
      <c r="L9" s="2" t="s">
        <v>116</v>
      </c>
      <c r="M9" s="7"/>
      <c r="N9" s="90"/>
      <c r="O9" s="2"/>
    </row>
    <row r="10" spans="1:15" ht="47.25" x14ac:dyDescent="0.25">
      <c r="A10" s="92" t="s">
        <v>121</v>
      </c>
      <c r="B10" s="92" t="s">
        <v>124</v>
      </c>
      <c r="C10" s="2"/>
      <c r="D10" s="2"/>
      <c r="E10" s="2" t="s">
        <v>116</v>
      </c>
      <c r="F10" s="2"/>
      <c r="G10" s="2"/>
      <c r="H10" s="2"/>
      <c r="I10" s="90"/>
      <c r="J10" s="2"/>
      <c r="K10" s="2" t="s">
        <v>116</v>
      </c>
      <c r="L10" s="2"/>
      <c r="M10" s="7" t="s">
        <v>116</v>
      </c>
      <c r="N10" s="90"/>
      <c r="O10" s="2"/>
    </row>
    <row r="11" spans="1:15" ht="47.25" x14ac:dyDescent="0.25">
      <c r="A11" s="92" t="s">
        <v>120</v>
      </c>
      <c r="B11" s="92" t="s">
        <v>124</v>
      </c>
      <c r="C11" s="2"/>
      <c r="D11" s="2"/>
      <c r="E11" s="2" t="s">
        <v>116</v>
      </c>
      <c r="F11" s="2"/>
      <c r="G11" s="2"/>
      <c r="H11" s="2"/>
      <c r="I11" s="90"/>
      <c r="J11" s="2"/>
      <c r="K11" s="2" t="s">
        <v>116</v>
      </c>
      <c r="L11" s="2"/>
      <c r="M11" s="7"/>
      <c r="N11" s="90"/>
      <c r="O11" s="2" t="s">
        <v>116</v>
      </c>
    </row>
    <row r="12" spans="1:15" ht="47.25" x14ac:dyDescent="0.25">
      <c r="A12" s="92" t="s">
        <v>122</v>
      </c>
      <c r="B12" s="92" t="s">
        <v>124</v>
      </c>
      <c r="C12" s="2"/>
      <c r="D12" s="2"/>
      <c r="E12" s="2"/>
      <c r="F12" s="2" t="s">
        <v>116</v>
      </c>
      <c r="G12" s="2"/>
      <c r="H12" s="2" t="s">
        <v>116</v>
      </c>
      <c r="I12" s="90"/>
      <c r="J12" s="2"/>
      <c r="K12" s="2"/>
      <c r="L12" s="2" t="s">
        <v>116</v>
      </c>
      <c r="M12" s="7"/>
      <c r="N12" s="90"/>
      <c r="O12" s="2"/>
    </row>
    <row r="13" spans="1:15" ht="47.25" x14ac:dyDescent="0.25">
      <c r="A13" s="92" t="s">
        <v>125</v>
      </c>
      <c r="B13" s="92" t="s">
        <v>124</v>
      </c>
      <c r="C13" s="2"/>
      <c r="D13" s="2"/>
      <c r="E13" s="2"/>
      <c r="F13" s="2" t="s">
        <v>116</v>
      </c>
      <c r="G13" s="2"/>
      <c r="H13" s="2" t="s">
        <v>116</v>
      </c>
      <c r="I13" s="90"/>
      <c r="J13" s="2"/>
      <c r="K13" s="2"/>
      <c r="L13" s="2"/>
      <c r="M13" s="7" t="s">
        <v>116</v>
      </c>
      <c r="N13" s="90"/>
      <c r="O13" s="2"/>
    </row>
    <row r="14" spans="1:15" ht="47.25" x14ac:dyDescent="0.25">
      <c r="A14" s="92" t="s">
        <v>126</v>
      </c>
      <c r="B14" s="92" t="s">
        <v>124</v>
      </c>
      <c r="C14" s="2"/>
      <c r="D14" s="2"/>
      <c r="E14" s="2"/>
      <c r="F14" s="2" t="s">
        <v>116</v>
      </c>
      <c r="G14" s="2"/>
      <c r="H14" s="2" t="s">
        <v>116</v>
      </c>
      <c r="I14" s="90"/>
      <c r="J14" s="2"/>
      <c r="K14" s="2"/>
      <c r="L14" s="2"/>
      <c r="M14" s="7"/>
      <c r="N14" s="90"/>
      <c r="O14" s="2" t="s">
        <v>116</v>
      </c>
    </row>
    <row r="15" spans="1:15" ht="47.25" x14ac:dyDescent="0.25">
      <c r="A15" s="92" t="s">
        <v>127</v>
      </c>
      <c r="B15" s="92" t="s">
        <v>124</v>
      </c>
      <c r="C15" s="2"/>
      <c r="D15" s="2"/>
      <c r="E15" s="2"/>
      <c r="F15" s="2" t="s">
        <v>116</v>
      </c>
      <c r="G15" s="2"/>
      <c r="H15" s="2"/>
      <c r="I15" s="90"/>
      <c r="J15" s="2" t="s">
        <v>116</v>
      </c>
      <c r="K15" s="2"/>
      <c r="L15" s="2" t="s">
        <v>116</v>
      </c>
      <c r="M15" s="7"/>
      <c r="N15" s="90"/>
      <c r="O15" s="2"/>
    </row>
    <row r="16" spans="1:15" ht="47.25" x14ac:dyDescent="0.25">
      <c r="A16" s="92" t="s">
        <v>128</v>
      </c>
      <c r="B16" s="92" t="s">
        <v>124</v>
      </c>
      <c r="C16" s="2"/>
      <c r="D16" s="2"/>
      <c r="E16" s="2"/>
      <c r="F16" s="2" t="s">
        <v>116</v>
      </c>
      <c r="G16" s="2"/>
      <c r="H16" s="2"/>
      <c r="I16" s="90"/>
      <c r="J16" s="2" t="s">
        <v>116</v>
      </c>
      <c r="K16" s="2"/>
      <c r="L16" s="2"/>
      <c r="M16" s="7" t="s">
        <v>116</v>
      </c>
      <c r="N16" s="90"/>
      <c r="O16" s="2"/>
    </row>
    <row r="17" spans="1:15" ht="47.25" x14ac:dyDescent="0.25">
      <c r="A17" s="92" t="s">
        <v>129</v>
      </c>
      <c r="B17" s="92" t="s">
        <v>124</v>
      </c>
      <c r="C17" s="2"/>
      <c r="D17" s="2"/>
      <c r="E17" s="2"/>
      <c r="F17" s="2" t="s">
        <v>116</v>
      </c>
      <c r="G17" s="2"/>
      <c r="H17" s="2"/>
      <c r="I17" s="90"/>
      <c r="J17" s="2" t="s">
        <v>116</v>
      </c>
      <c r="K17" s="2"/>
      <c r="L17" s="2"/>
      <c r="M17" s="7"/>
      <c r="N17" s="90"/>
      <c r="O17" s="2" t="s">
        <v>116</v>
      </c>
    </row>
    <row r="18" spans="1:15" ht="47.25" x14ac:dyDescent="0.25">
      <c r="A18" s="92" t="s">
        <v>127</v>
      </c>
      <c r="B18" s="92" t="s">
        <v>124</v>
      </c>
      <c r="C18" s="2"/>
      <c r="D18" s="2"/>
      <c r="E18" s="2"/>
      <c r="F18" s="2" t="s">
        <v>116</v>
      </c>
      <c r="G18" s="2"/>
      <c r="H18" s="2"/>
      <c r="I18" s="90"/>
      <c r="J18" s="2"/>
      <c r="K18" s="2" t="s">
        <v>116</v>
      </c>
      <c r="L18" s="2" t="s">
        <v>116</v>
      </c>
      <c r="M18" s="7"/>
      <c r="N18" s="90"/>
      <c r="O18" s="2"/>
    </row>
    <row r="19" spans="1:15" ht="47.25" x14ac:dyDescent="0.25">
      <c r="A19" s="92" t="s">
        <v>128</v>
      </c>
      <c r="B19" s="92" t="s">
        <v>124</v>
      </c>
      <c r="C19" s="2"/>
      <c r="D19" s="2"/>
      <c r="E19" s="2"/>
      <c r="F19" s="2" t="s">
        <v>116</v>
      </c>
      <c r="G19" s="2"/>
      <c r="H19" s="2"/>
      <c r="I19" s="90"/>
      <c r="J19" s="2"/>
      <c r="K19" s="2" t="s">
        <v>116</v>
      </c>
      <c r="L19" s="2"/>
      <c r="M19" s="7" t="s">
        <v>116</v>
      </c>
      <c r="N19" s="90"/>
      <c r="O19" s="2"/>
    </row>
    <row r="20" spans="1:15" ht="47.25" x14ac:dyDescent="0.25">
      <c r="A20" s="92" t="s">
        <v>130</v>
      </c>
      <c r="B20" s="92" t="s">
        <v>124</v>
      </c>
      <c r="C20" s="2"/>
      <c r="D20" s="2"/>
      <c r="E20" s="2"/>
      <c r="F20" s="2" t="s">
        <v>116</v>
      </c>
      <c r="G20" s="2"/>
      <c r="H20" s="2"/>
      <c r="I20" s="90"/>
      <c r="J20" s="2"/>
      <c r="K20" s="2" t="s">
        <v>116</v>
      </c>
      <c r="L20" s="2"/>
      <c r="M20" s="7"/>
      <c r="N20" s="90"/>
      <c r="O20" s="2" t="s">
        <v>116</v>
      </c>
    </row>
    <row r="21" spans="1:15" ht="47.25" x14ac:dyDescent="0.25">
      <c r="A21" s="92" t="s">
        <v>131</v>
      </c>
      <c r="B21" s="92" t="s">
        <v>124</v>
      </c>
      <c r="C21" s="2"/>
      <c r="D21" s="2"/>
      <c r="E21" s="2"/>
      <c r="F21" s="2"/>
      <c r="G21" s="2" t="s">
        <v>116</v>
      </c>
      <c r="H21" s="2" t="s">
        <v>116</v>
      </c>
      <c r="I21" s="90"/>
      <c r="J21" s="2"/>
      <c r="K21" s="2"/>
      <c r="L21" s="2" t="s">
        <v>116</v>
      </c>
      <c r="M21" s="7"/>
      <c r="N21" s="90"/>
      <c r="O21" s="2"/>
    </row>
    <row r="22" spans="1:15" ht="47.25" x14ac:dyDescent="0.25">
      <c r="A22" s="92" t="s">
        <v>132</v>
      </c>
      <c r="B22" s="92" t="s">
        <v>124</v>
      </c>
      <c r="C22" s="2"/>
      <c r="D22" s="2"/>
      <c r="E22" s="2"/>
      <c r="F22" s="2"/>
      <c r="G22" s="2" t="s">
        <v>116</v>
      </c>
      <c r="H22" s="2" t="s">
        <v>116</v>
      </c>
      <c r="I22" s="90"/>
      <c r="J22" s="2"/>
      <c r="K22" s="2"/>
      <c r="L22" s="2"/>
      <c r="M22" s="7" t="s">
        <v>116</v>
      </c>
      <c r="N22" s="90"/>
      <c r="O22" s="2"/>
    </row>
    <row r="23" spans="1:15" ht="47.25" x14ac:dyDescent="0.25">
      <c r="A23" s="92" t="s">
        <v>133</v>
      </c>
      <c r="B23" s="92" t="s">
        <v>124</v>
      </c>
      <c r="C23" s="2"/>
      <c r="D23" s="2"/>
      <c r="E23" s="2"/>
      <c r="F23" s="2"/>
      <c r="G23" s="2" t="s">
        <v>116</v>
      </c>
      <c r="H23" s="2" t="s">
        <v>116</v>
      </c>
      <c r="I23" s="90"/>
      <c r="J23" s="2"/>
      <c r="K23" s="2"/>
      <c r="L23" s="2"/>
      <c r="M23" s="7"/>
      <c r="N23" s="90"/>
      <c r="O23" s="2" t="s">
        <v>116</v>
      </c>
    </row>
    <row r="24" spans="1:15" ht="47.25" x14ac:dyDescent="0.25">
      <c r="A24" s="92" t="s">
        <v>134</v>
      </c>
      <c r="B24" s="92" t="s">
        <v>124</v>
      </c>
      <c r="C24" s="2"/>
      <c r="D24" s="2"/>
      <c r="E24" s="2"/>
      <c r="F24" s="2"/>
      <c r="G24" s="2" t="s">
        <v>116</v>
      </c>
      <c r="H24" s="2"/>
      <c r="I24" s="90"/>
      <c r="J24" s="2" t="s">
        <v>116</v>
      </c>
      <c r="K24" s="2"/>
      <c r="L24" s="2" t="s">
        <v>116</v>
      </c>
      <c r="M24" s="7"/>
      <c r="N24" s="90"/>
      <c r="O24" s="2"/>
    </row>
    <row r="25" spans="1:15" ht="47.25" x14ac:dyDescent="0.25">
      <c r="A25" s="92" t="s">
        <v>135</v>
      </c>
      <c r="B25" s="92" t="s">
        <v>124</v>
      </c>
      <c r="C25" s="2"/>
      <c r="D25" s="2"/>
      <c r="E25" s="2"/>
      <c r="F25" s="2"/>
      <c r="G25" s="2" t="s">
        <v>116</v>
      </c>
      <c r="H25" s="2"/>
      <c r="I25" s="90"/>
      <c r="J25" s="2" t="s">
        <v>116</v>
      </c>
      <c r="K25" s="2"/>
      <c r="L25" s="2"/>
      <c r="M25" s="7" t="s">
        <v>116</v>
      </c>
      <c r="N25" s="90"/>
      <c r="O25" s="2"/>
    </row>
    <row r="26" spans="1:15" ht="47.25" x14ac:dyDescent="0.25">
      <c r="A26" s="92" t="s">
        <v>136</v>
      </c>
      <c r="B26" s="92" t="s">
        <v>124</v>
      </c>
      <c r="C26" s="2"/>
      <c r="D26" s="2"/>
      <c r="E26" s="2"/>
      <c r="F26" s="2"/>
      <c r="G26" s="2" t="s">
        <v>116</v>
      </c>
      <c r="H26" s="2"/>
      <c r="I26" s="90"/>
      <c r="J26" s="2" t="s">
        <v>116</v>
      </c>
      <c r="K26" s="2"/>
      <c r="L26" s="2"/>
      <c r="M26" s="7"/>
      <c r="N26" s="90"/>
      <c r="O26" s="2" t="s">
        <v>116</v>
      </c>
    </row>
    <row r="27" spans="1:15" ht="47.25" x14ac:dyDescent="0.25">
      <c r="A27" s="92" t="s">
        <v>134</v>
      </c>
      <c r="B27" s="92" t="s">
        <v>124</v>
      </c>
      <c r="C27" s="2"/>
      <c r="D27" s="2"/>
      <c r="E27" s="2"/>
      <c r="F27" s="2"/>
      <c r="G27" s="2" t="s">
        <v>116</v>
      </c>
      <c r="H27" s="2"/>
      <c r="I27" s="90"/>
      <c r="J27" s="2"/>
      <c r="K27" s="2" t="s">
        <v>116</v>
      </c>
      <c r="L27" s="2" t="s">
        <v>116</v>
      </c>
      <c r="M27" s="7"/>
      <c r="N27" s="90"/>
      <c r="O27" s="2"/>
    </row>
    <row r="28" spans="1:15" ht="47.25" x14ac:dyDescent="0.25">
      <c r="A28" s="92" t="s">
        <v>135</v>
      </c>
      <c r="B28" s="92" t="s">
        <v>124</v>
      </c>
      <c r="C28" s="2"/>
      <c r="D28" s="2"/>
      <c r="E28" s="2"/>
      <c r="F28" s="2"/>
      <c r="G28" s="2" t="s">
        <v>116</v>
      </c>
      <c r="H28" s="2"/>
      <c r="I28" s="90"/>
      <c r="J28" s="2"/>
      <c r="K28" s="2" t="s">
        <v>116</v>
      </c>
      <c r="L28" s="2"/>
      <c r="M28" s="7" t="s">
        <v>116</v>
      </c>
      <c r="N28" s="90"/>
      <c r="O28" s="2"/>
    </row>
    <row r="29" spans="1:15" ht="47.25" x14ac:dyDescent="0.25">
      <c r="A29" s="92" t="s">
        <v>136</v>
      </c>
      <c r="B29" s="92" t="s">
        <v>124</v>
      </c>
      <c r="C29" s="2"/>
      <c r="D29" s="2"/>
      <c r="E29" s="2"/>
      <c r="F29" s="2"/>
      <c r="G29" s="2" t="s">
        <v>116</v>
      </c>
      <c r="H29" s="2"/>
      <c r="I29" s="90"/>
      <c r="J29" s="2"/>
      <c r="K29" s="2" t="s">
        <v>116</v>
      </c>
      <c r="L29" s="2"/>
      <c r="M29" s="7"/>
      <c r="N29" s="90"/>
      <c r="O29" s="2" t="s">
        <v>116</v>
      </c>
    </row>
    <row r="30" spans="1:15" ht="31.5" x14ac:dyDescent="0.25">
      <c r="A30" s="92" t="s">
        <v>102</v>
      </c>
      <c r="B30" s="92" t="s">
        <v>123</v>
      </c>
      <c r="C30" s="2"/>
      <c r="D30" s="2"/>
      <c r="E30" s="2" t="s">
        <v>137</v>
      </c>
      <c r="F30" s="2" t="s">
        <v>137</v>
      </c>
      <c r="G30" s="2" t="s">
        <v>137</v>
      </c>
      <c r="H30" s="2"/>
      <c r="I30" s="90"/>
      <c r="J30" s="2"/>
      <c r="K30" s="2"/>
      <c r="L30" s="2"/>
      <c r="M30" s="7"/>
      <c r="N30" s="90"/>
      <c r="O30" s="2"/>
    </row>
    <row r="31" spans="1:15" ht="31.5" x14ac:dyDescent="0.25">
      <c r="A31" s="92" t="s">
        <v>102</v>
      </c>
      <c r="B31" s="92" t="s">
        <v>123</v>
      </c>
      <c r="C31" s="2"/>
      <c r="D31" s="2"/>
      <c r="E31" s="2"/>
      <c r="F31" s="2"/>
      <c r="G31" s="2"/>
      <c r="H31" s="2" t="s">
        <v>137</v>
      </c>
      <c r="I31" s="90"/>
      <c r="J31" s="2" t="s">
        <v>137</v>
      </c>
      <c r="K31" s="2" t="s">
        <v>137</v>
      </c>
      <c r="L31" s="2"/>
      <c r="M31" s="7"/>
      <c r="N31" s="90"/>
      <c r="O31" s="2"/>
    </row>
    <row r="32" spans="1:15" ht="31.5" x14ac:dyDescent="0.25">
      <c r="A32" s="92" t="s">
        <v>102</v>
      </c>
      <c r="B32" s="92" t="s">
        <v>123</v>
      </c>
      <c r="C32" s="2"/>
      <c r="D32" s="2"/>
      <c r="E32" s="2"/>
      <c r="F32" s="2"/>
      <c r="G32" s="2"/>
      <c r="H32" s="2"/>
      <c r="I32" s="90"/>
      <c r="J32" s="2"/>
      <c r="K32" s="2"/>
      <c r="L32" s="2" t="s">
        <v>137</v>
      </c>
      <c r="M32" s="7" t="s">
        <v>137</v>
      </c>
      <c r="N32" s="90"/>
      <c r="O32" s="2" t="s">
        <v>137</v>
      </c>
    </row>
  </sheetData>
  <mergeCells count="2">
    <mergeCell ref="A1:D1"/>
    <mergeCell ref="E1:O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3"/>
  <sheetViews>
    <sheetView showGridLines="0" workbookViewId="0">
      <selection activeCell="A6" sqref="A6"/>
    </sheetView>
  </sheetViews>
  <sheetFormatPr baseColWidth="10" defaultRowHeight="15" x14ac:dyDescent="0.25"/>
  <cols>
    <col min="1" max="1" width="49.28515625" customWidth="1"/>
    <col min="2" max="2" width="56.42578125" customWidth="1"/>
    <col min="3" max="3" width="43" customWidth="1"/>
    <col min="4" max="4" width="61.140625" customWidth="1"/>
    <col min="5" max="5" width="22.5703125" bestFit="1" customWidth="1"/>
  </cols>
  <sheetData>
    <row r="1" spans="1:5" ht="28.5" x14ac:dyDescent="0.45">
      <c r="A1" s="8" t="s">
        <v>91</v>
      </c>
      <c r="B1" s="4"/>
    </row>
    <row r="2" spans="1:5" ht="21" x14ac:dyDescent="0.35">
      <c r="A2" s="30" t="s">
        <v>10</v>
      </c>
      <c r="B2" s="30" t="s">
        <v>5</v>
      </c>
      <c r="C2" s="3"/>
      <c r="D2" s="40" t="s">
        <v>48</v>
      </c>
      <c r="E2" s="33" t="s">
        <v>25</v>
      </c>
    </row>
    <row r="3" spans="1:5" ht="45" x14ac:dyDescent="0.25">
      <c r="A3" s="79" t="s">
        <v>92</v>
      </c>
      <c r="B3" s="13" t="s">
        <v>104</v>
      </c>
      <c r="C3" s="3"/>
      <c r="D3" s="2" t="s">
        <v>24</v>
      </c>
      <c r="E3" s="2" t="s">
        <v>26</v>
      </c>
    </row>
    <row r="4" spans="1:5" x14ac:dyDescent="0.25">
      <c r="C4" s="3"/>
      <c r="D4" s="2" t="s">
        <v>14</v>
      </c>
      <c r="E4" s="2" t="s">
        <v>27</v>
      </c>
    </row>
    <row r="5" spans="1:5" x14ac:dyDescent="0.25">
      <c r="C5" s="3"/>
      <c r="D5" s="34"/>
      <c r="E5" s="2" t="s">
        <v>28</v>
      </c>
    </row>
    <row r="6" spans="1:5" x14ac:dyDescent="0.25">
      <c r="C6" s="3"/>
      <c r="D6" s="34"/>
      <c r="E6" s="2" t="s">
        <v>29</v>
      </c>
    </row>
    <row r="7" spans="1:5" x14ac:dyDescent="0.25">
      <c r="A7" s="3"/>
      <c r="B7" s="3"/>
      <c r="C7" s="3"/>
      <c r="E7" s="2" t="s">
        <v>99</v>
      </c>
    </row>
    <row r="8" spans="1:5" ht="15.75" x14ac:dyDescent="0.25">
      <c r="A8" s="37"/>
      <c r="B8" s="11"/>
      <c r="C8" s="3"/>
      <c r="E8" s="2" t="s">
        <v>30</v>
      </c>
    </row>
    <row r="9" spans="1:5" x14ac:dyDescent="0.25">
      <c r="A9" s="3"/>
      <c r="B9" s="3"/>
      <c r="C9" s="3"/>
    </row>
    <row r="10" spans="1:5" ht="18.75" x14ac:dyDescent="0.3">
      <c r="A10" s="10"/>
      <c r="B10" s="11"/>
      <c r="C10" s="3"/>
      <c r="E10" s="52" t="s">
        <v>58</v>
      </c>
    </row>
    <row r="11" spans="1:5" x14ac:dyDescent="0.25">
      <c r="A11" s="12"/>
      <c r="B11" s="9"/>
      <c r="C11" s="3"/>
      <c r="E11" s="2" t="s">
        <v>59</v>
      </c>
    </row>
    <row r="12" spans="1:5" x14ac:dyDescent="0.25">
      <c r="E12" s="2" t="s">
        <v>60</v>
      </c>
    </row>
    <row r="13" spans="1:5" x14ac:dyDescent="0.25">
      <c r="E13" s="2" t="s">
        <v>61</v>
      </c>
    </row>
    <row r="14" spans="1:5" ht="33" x14ac:dyDescent="0.45">
      <c r="A14" s="6" t="s">
        <v>11</v>
      </c>
      <c r="B14" s="5"/>
      <c r="E14" s="39" t="s">
        <v>62</v>
      </c>
    </row>
    <row r="15" spans="1:5" ht="30" x14ac:dyDescent="0.25">
      <c r="A15" s="7" t="s">
        <v>12</v>
      </c>
      <c r="B15" s="7" t="s">
        <v>42</v>
      </c>
      <c r="E15" s="39" t="s">
        <v>82</v>
      </c>
    </row>
    <row r="16" spans="1:5" x14ac:dyDescent="0.25">
      <c r="A16" s="2" t="s">
        <v>13</v>
      </c>
      <c r="B16" s="2" t="s">
        <v>14</v>
      </c>
      <c r="E16" s="51"/>
    </row>
    <row r="17" spans="1:5" x14ac:dyDescent="0.25">
      <c r="E17" s="51"/>
    </row>
    <row r="18" spans="1:5" x14ac:dyDescent="0.25">
      <c r="E18" s="51"/>
    </row>
    <row r="19" spans="1:5" x14ac:dyDescent="0.25">
      <c r="E19" s="51"/>
    </row>
    <row r="20" spans="1:5" x14ac:dyDescent="0.25">
      <c r="D20" s="12"/>
    </row>
    <row r="21" spans="1:5" x14ac:dyDescent="0.25">
      <c r="D21" s="12"/>
    </row>
    <row r="22" spans="1:5" x14ac:dyDescent="0.25">
      <c r="D22" s="12"/>
    </row>
    <row r="23" spans="1:5" x14ac:dyDescent="0.25">
      <c r="D23" s="12"/>
    </row>
    <row r="24" spans="1:5" x14ac:dyDescent="0.25">
      <c r="D24" s="12"/>
    </row>
    <row r="25" spans="1:5" x14ac:dyDescent="0.25">
      <c r="D25" s="12"/>
    </row>
    <row r="26" spans="1:5" ht="28.5" x14ac:dyDescent="0.45">
      <c r="A26" s="8" t="s">
        <v>15</v>
      </c>
      <c r="B26" s="4"/>
      <c r="C26" s="81"/>
      <c r="D26" s="12"/>
    </row>
    <row r="27" spans="1:5" ht="21" x14ac:dyDescent="0.25">
      <c r="A27" s="78" t="s">
        <v>100</v>
      </c>
      <c r="B27" s="80" t="s">
        <v>90</v>
      </c>
      <c r="C27" s="82" t="s">
        <v>93</v>
      </c>
      <c r="D27" s="83"/>
    </row>
    <row r="28" spans="1:5" ht="15.75" x14ac:dyDescent="0.25">
      <c r="A28" s="31" t="s">
        <v>103</v>
      </c>
      <c r="B28" s="2" t="s">
        <v>94</v>
      </c>
      <c r="C28" s="38" t="s">
        <v>97</v>
      </c>
      <c r="D28" s="9"/>
    </row>
    <row r="29" spans="1:5" ht="15.75" x14ac:dyDescent="0.25">
      <c r="A29" s="36" t="s">
        <v>95</v>
      </c>
      <c r="B29" s="39" t="s">
        <v>95</v>
      </c>
      <c r="C29" s="38" t="s">
        <v>98</v>
      </c>
      <c r="D29" s="9"/>
    </row>
    <row r="30" spans="1:5" ht="15.75" x14ac:dyDescent="0.25">
      <c r="A30" s="38" t="s">
        <v>96</v>
      </c>
      <c r="B30" s="39" t="s">
        <v>96</v>
      </c>
      <c r="C30" s="39" t="s">
        <v>96</v>
      </c>
      <c r="D30" s="9"/>
    </row>
    <row r="31" spans="1:5" ht="45" x14ac:dyDescent="0.25">
      <c r="A31" s="86" t="s">
        <v>102</v>
      </c>
      <c r="B31" s="91" t="s">
        <v>102</v>
      </c>
      <c r="C31" s="85" t="s">
        <v>101</v>
      </c>
      <c r="D31" s="12"/>
    </row>
    <row r="32" spans="1:5" x14ac:dyDescent="0.25">
      <c r="D32" s="12"/>
    </row>
    <row r="33" spans="4:4" x14ac:dyDescent="0.25">
      <c r="D33" s="84"/>
    </row>
  </sheetData>
  <customSheetViews>
    <customSheetView guid="{A256185D-3FED-4216-9EB5-F7E7AD436EE2}">
      <selection activeCell="D12" sqref="D12"/>
      <pageMargins left="0.7" right="0.7" top="0.75" bottom="0.75" header="0.3" footer="0.3"/>
      <pageSetup paperSize="9" orientation="portrait" r:id="rId1"/>
    </customSheetView>
    <customSheetView guid="{C1DE02DC-85CC-4A1E-B2FE-5BA1C75D8607}">
      <selection activeCell="D12" sqref="D12"/>
      <pageMargins left="0.7" right="0.7" top="0.75" bottom="0.75" header="0.3" footer="0.3"/>
      <pageSetup paperSize="9" orientation="portrait" r:id="rId2"/>
    </customSheetView>
    <customSheetView guid="{2AD4F69B-2293-4CEA-BBDE-54830C532392}">
      <selection activeCell="D12" sqref="D12"/>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data_ant_live_klipp</vt:lpstr>
      <vt:lpstr>data_ant_mediaalt</vt:lpstr>
      <vt:lpstr>har_lyd</vt:lpstr>
      <vt:lpstr>ikke_video</vt:lpstr>
      <vt:lpstr>klipp</vt:lpstr>
      <vt:lpstr>kommentar</vt:lpstr>
      <vt:lpstr>nettleser</vt:lpstr>
      <vt:lpstr>SIDE</vt:lpstr>
      <vt:lpstr>slutt_data</vt:lpstr>
      <vt:lpstr>Data!StartTabell</vt:lpstr>
      <vt:lpstr>sum_testa</vt:lpstr>
      <vt:lpstr>url</vt:lpstr>
      <vt:lpstr>uten_lyd</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2016-06-22T15:01:32Z</cp:lastPrinted>
  <dcterms:created xsi:type="dcterms:W3CDTF">2016-03-07T13:44:49Z</dcterms:created>
  <dcterms:modified xsi:type="dcterms:W3CDTF">2017-09-12T11:01:27Z</dcterms:modified>
</cp:coreProperties>
</file>