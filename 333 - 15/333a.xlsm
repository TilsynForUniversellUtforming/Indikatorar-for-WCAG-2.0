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333 - 15\"/>
    </mc:Choice>
  </mc:AlternateContent>
  <bookViews>
    <workbookView xWindow="0" yWindow="0" windowWidth="15090" windowHeight="6855"/>
  </bookViews>
  <sheets>
    <sheet name="Registering" sheetId="1" r:id="rId1"/>
    <sheet name="Data" sheetId="2" r:id="rId2"/>
    <sheet name="Utfall" sheetId="4" r:id="rId3"/>
    <sheet name="Logikk" sheetId="3" r:id="rId4"/>
  </sheets>
  <definedNames>
    <definedName name="_xlnm._FilterDatabase" localSheetId="1" hidden="1">Data!$A$15:$F$39</definedName>
    <definedName name="del_3">Registering!$D$16</definedName>
    <definedName name="del2_topp">Registering!$D$10</definedName>
    <definedName name="har_ikkje_automatisk">Data!$D$6</definedName>
    <definedName name="har_ikkje_digitale_skjema">Data!$D$5</definedName>
    <definedName name="har_ikkje_kjente">Data!$D$8</definedName>
    <definedName name="ikkje_tekst">Data!$D$7</definedName>
    <definedName name="kommentar">Registering!$D$23</definedName>
    <definedName name="nettleser">Registering!$D$6</definedName>
    <definedName name="side">Registering!$D$14</definedName>
    <definedName name="slutt_data">Registering!$D$24</definedName>
    <definedName name="StartTabell" localSheetId="1">Data!$A$15</definedName>
    <definedName name="sum_testa">Data!$D$11</definedName>
    <definedName name="_xlnm.Print_Titles" localSheetId="0">Registering!$4:$4</definedName>
    <definedName name="versjon.nettleser">Registering!$D$7</definedName>
    <definedName name="Z_1AA42419_1160_47F5_8DEA_15A50A157DEE_.wvu.FilterData" localSheetId="1" hidden="1">Data!$A$15:$F$25</definedName>
    <definedName name="Z_1AA42419_1160_47F5_8DEA_15A50A157DEE_.wvu.Rows" localSheetId="1" hidden="1">Data!$2:$2</definedName>
    <definedName name="Z_26099ACF_F46C_4A67_942B_4FD1AB10802B_.wvu.FilterData" localSheetId="1" hidden="1">Data!$A$15:$F$25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Data!$A$15:$F$25</definedName>
    <definedName name="Z_49E71582_E632_4C02_B1A6_EB43BB56B0A8_.wvu.Rows" localSheetId="1" hidden="1">Data!$2:$2</definedName>
    <definedName name="Z_99D1FDE4_E08A_463A_8892_3A1D71A71314_.wvu.FilterData" localSheetId="1" hidden="1">Data!$A$15:$F$25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Data!$A$15:$F$25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Data!$A$15:$F$25</definedName>
    <definedName name="Z_E4C8C369_F69B_441E_A88B_9F1F8BA5F556_.wvu.Rows" localSheetId="1" hidden="1">Data!$12:$13</definedName>
    <definedName name="Z_FED614AE_8EDC_490F_B255_499C7A2C8857_.wvu.FilterData" localSheetId="1" hidden="1">Data!$A$15:$F$25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2" l="1"/>
  <c r="D12" i="2"/>
  <c r="D11" i="2"/>
  <c r="B2" i="2" l="1"/>
  <c r="A1" i="2" l="1"/>
</calcChain>
</file>

<file path=xl/sharedStrings.xml><?xml version="1.0" encoding="utf-8"?>
<sst xmlns="http://schemas.openxmlformats.org/spreadsheetml/2006/main" count="155" uniqueCount="119">
  <si>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</si>
  <si>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</si>
  <si>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</si>
  <si>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</si>
  <si>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</si>
  <si>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</si>
  <si>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</si>
  <si>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</si>
  <si>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</si>
  <si>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</si>
  <si>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</si>
  <si>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</si>
  <si>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</si>
  <si>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</si>
  <si>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</si>
  <si>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</si>
  <si>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</si>
  <si>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</si>
  <si>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</si>
  <si>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I samsvar dersom</t>
  </si>
  <si>
    <t>Ellers</t>
  </si>
  <si>
    <t>Nei</t>
  </si>
  <si>
    <t>3.2</t>
  </si>
  <si>
    <t>3.4</t>
  </si>
  <si>
    <t>3.6</t>
  </si>
  <si>
    <t>Opne nettlesaren.</t>
  </si>
  <si>
    <t>Registrer kva nettlesar du testar i.</t>
  </si>
  <si>
    <t>Vel ved hjelp av nedtrekksmeny.</t>
  </si>
  <si>
    <t>Registrer kva versjon av nettlesaren du testar i.</t>
  </si>
  <si>
    <t>Denne finn du ofte under "om" eller i innstillingar for nettlesaren.</t>
  </si>
  <si>
    <t>3.3</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</si>
  <si>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</si>
  <si>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</si>
  <si>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</si>
  <si>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</si>
  <si>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</si>
  <si>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</si>
  <si>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</si>
  <si>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</si>
  <si>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</si>
  <si>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</si>
  <si>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</si>
  <si>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</si>
  <si>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</si>
  <si>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Etv mer beskrivelse av side</t>
  </si>
  <si>
    <t xml:space="preserve">Opne førehandsdefinert testside eller gjennomfør eit manuelt søk etter skjema på nettstaden. 
Dersom du ikkje har funne skjema innan få minuttar kan du avbryte.
</t>
  </si>
  <si>
    <t>2.1</t>
  </si>
  <si>
    <t>Oppgi url for sida skjemaet ligg på.</t>
  </si>
  <si>
    <t>Skriv inn url på ei slik form at vi kan nå aktuell nettside ved å klikke på lenka.</t>
  </si>
  <si>
    <t>Beskriv skjemaet/prosessen</t>
  </si>
  <si>
    <t>Legg inn overskrift, eller andre stikkord som er slik at skjemaet kan identifiserast.</t>
  </si>
  <si>
    <t>2.3</t>
  </si>
  <si>
    <t>2.4</t>
  </si>
  <si>
    <t>3.1</t>
  </si>
  <si>
    <t>Beskriv skjemaelementet som skal vurderast.</t>
  </si>
  <si>
    <t>Kortfatta, stikkord</t>
  </si>
  <si>
    <t>3. For kvart skjemaelement med feilmelding</t>
  </si>
  <si>
    <t>Sensitiv informasjon treng ikkje å fortsatt ligge i skjemaet etter innsendt skjema.
Det er ok at inndata blir korrigert automatisk.</t>
  </si>
  <si>
    <t>Legg inn feil inndata i alle skjemaelement. Fullfør eller send inn skjemaet.
Eksempel på datafeil er
- Postnummer som inneheld bokstavar
- Namn som inneheld tal eller spesialteikn
- Ugyldig e-postformat
- Ugyldig datoformat
- Data utanfor grenseverdi, for eksempel månad 14 i ein dato</t>
  </si>
  <si>
    <t>Finst det kjente forslag til korleis feilen kan rettast?</t>
  </si>
  <si>
    <t>2. For kvart skjema</t>
  </si>
  <si>
    <t>2.2</t>
  </si>
  <si>
    <t>2.5</t>
  </si>
  <si>
    <t>2.6</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</si>
  <si>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 teksten.
- Sjekk at teksten er koda som tekst, ved å sjå om du finn att teksten i koden.
Alternativ 3:
- Feilmeldingar som er produsert av nettlesaren, reknast som tekst.
Merk: Feilmeldinga må vere synleg utan at brukaren må gjere ekstra handlingar, som for eksempel å navigere til skjemaelementet.</t>
  </si>
  <si>
    <t>Kjente forslag er for eksempel:
- forslag om rett stavemåte
- forslag om tilsvarande tekst eller omgrep.
- beskriving av kva som er rett inndata
- ei liste med kva som er rett inndata
- eit spørsmål på formen «meinte du …?» eller tilsvarande
Det finst for eksempel kjente forslag for følgjande:
- E-post, postnummer, fødselsdato, telefonnummer osb.
Det er ikkje nødvendig å gi forslag til retting av feil dersom:
- det gjeld skjemaelement knytta til sikkerhet, for eksempel passord
- forslag til retting undergrev formålet, for eksempel svar i en quiz</t>
  </si>
  <si>
    <t xml:space="preserve">Dersom skjemaelementet krev inndata i eit spesifikt format, skal alle elementa som inngår i formatet, stå i meldinga. Når det gjeld for eksempel epost, er det ikkje tilstrekkeleg å berre oppgi at formatet krev @, når formatet er på forma a@b.no.
Forslag til retting av feil kan for eksempel vere
- forslag om rett stavemåte
- forslag om tilsvarande tekst eller omgrep.
- beskriving av kva som er rett inndata
- ei liste med kva som er rett inndata
- eit spørsmål på formen «meinte du …?» eller tilsvarande </t>
  </si>
  <si>
    <t>G83
G84
G85</t>
  </si>
  <si>
    <t>G177</t>
  </si>
  <si>
    <t>G83
G84
G85
G177</t>
  </si>
  <si>
    <t>Steg</t>
  </si>
  <si>
    <r>
      <t xml:space="preserve">Har nettstaden digitale/interaktive skjema/skjemaelement?
</t>
    </r>
    <r>
      <rPr>
        <b/>
        <sz val="11"/>
        <color rgb="FFFF0000"/>
        <rFont val="Calibri"/>
        <family val="2"/>
        <scheme val="minor"/>
      </rPr>
      <t>Viss Nei, gå til steg 3.6 for å skrive inn kommentar.</t>
    </r>
  </si>
  <si>
    <r>
      <t xml:space="preserve">Får du sende inn eit skjema der du har fyllt inn data i feil format eller verdi?
</t>
    </r>
    <r>
      <rPr>
        <b/>
        <sz val="11"/>
        <color rgb="FFFF0000"/>
        <rFont val="Calibri"/>
        <family val="2"/>
        <scheme val="minor"/>
      </rPr>
      <t>Viss Ja, gå til steg 3.6 for å skrive inn kommentar.</t>
    </r>
  </si>
  <si>
    <t>Skjema</t>
  </si>
  <si>
    <t>Datavalidering 2 svar</t>
  </si>
  <si>
    <t>Datavalidering nettlesar</t>
  </si>
  <si>
    <t>Internet Explorer</t>
  </si>
  <si>
    <t>Testsidene har ikkje digitale/interaktive skjema/skjemaelement</t>
  </si>
  <si>
    <t>Chrome</t>
  </si>
  <si>
    <t>Testsidene har ikkje skjema med automatisk oppdaging av feil</t>
  </si>
  <si>
    <t>Firefox</t>
  </si>
  <si>
    <t>Safari</t>
  </si>
  <si>
    <t>Andre</t>
  </si>
  <si>
    <r>
      <t xml:space="preserve">Får du eit forslag til korleis feilen kan rettast?
</t>
    </r>
    <r>
      <rPr>
        <b/>
        <sz val="11"/>
        <color rgb="FFFF0000"/>
        <rFont val="Calibri"/>
        <family val="2"/>
        <scheme val="minor"/>
      </rPr>
      <t xml:space="preserve">
Viss Nei, gå til steg 3.5</t>
    </r>
  </si>
  <si>
    <r>
      <t xml:space="preserve">Gir forslaget tilstrekkeleg informasjon om korleis du kan rette feilen?
</t>
    </r>
    <r>
      <rPr>
        <b/>
        <sz val="11"/>
        <color rgb="FFFF0000"/>
        <rFont val="Calibri"/>
        <family val="2"/>
        <scheme val="minor"/>
      </rPr>
      <t>Viss Ja, gå til steg 3.6 for å skrive inn kommentar.</t>
    </r>
  </si>
  <si>
    <r>
      <t xml:space="preserve">Er informasjonen du har fylt inn fortsatt i skjemaelementet?
</t>
    </r>
    <r>
      <rPr>
        <b/>
        <sz val="11"/>
        <color rgb="FFFF0000"/>
        <rFont val="Calibri"/>
        <family val="2"/>
        <scheme val="minor"/>
      </rPr>
      <t>Viss Nei, gå til steg 3.6 for å skrive inn kommentar.</t>
    </r>
  </si>
  <si>
    <t>Skjemaelement med automatisk oppdaging av feil</t>
  </si>
  <si>
    <t>Skjemaelement der inndata forsvinn når feil blir oppdaga automatisk</t>
  </si>
  <si>
    <t>Sjemaelement med feilmelding som innholder forslag med utilstrekkeleg informasjon om korleis du kan rette feilen</t>
  </si>
  <si>
    <t>Sjemaelement med feilmelding som innholder forslag med tilstrekkeleg informasjon om korleis du kan rette feilen</t>
  </si>
  <si>
    <t>Testsidene har ikkje feilmeldingar der det finnes kjente forslag til korleis feilen kan rettast</t>
  </si>
  <si>
    <t>Sjemaelement utan feilmelding som innheld forslag til retting sjølv om det finst kjente forslag til korleis feilen kan rettast</t>
  </si>
  <si>
    <t>3.4 = ja</t>
  </si>
  <si>
    <t>nei eller ikkje forekomst</t>
  </si>
  <si>
    <t>Testsidene har ikkje skjema med forslag til retting i form av tekst</t>
  </si>
  <si>
    <r>
      <t xml:space="preserve">Får du feilmelding(ar) i form av tekst?
</t>
    </r>
    <r>
      <rPr>
        <b/>
        <sz val="11"/>
        <color rgb="FFFF0000"/>
        <rFont val="Calibri"/>
        <family val="2"/>
        <scheme val="minor"/>
      </rPr>
      <t>Viss Nei, gå til steg 3.6 for å skrive inn kommentar.</t>
    </r>
  </si>
  <si>
    <t>Registrering</t>
  </si>
  <si>
    <t>Utfall</t>
  </si>
  <si>
    <t>Samsvar</t>
  </si>
  <si>
    <t>Vurdering</t>
  </si>
  <si>
    <t>Skala</t>
  </si>
  <si>
    <t>brudd</t>
  </si>
  <si>
    <t>nei</t>
  </si>
  <si>
    <t>ja</t>
  </si>
  <si>
    <t>samsvar</t>
  </si>
  <si>
    <t>3.3.3 a</t>
  </si>
  <si>
    <t>Skjemaelement der inndata forsvinn når feil blir oppdaga automatisk.</t>
  </si>
  <si>
    <t>Sjemaelement utan feilmelding som innheld forslag til retting sjølv om det finst kjente forslag til korleis feilen kan rettast.</t>
  </si>
  <si>
    <t>Sjemaelement med feilmelding som innholder forslag med utilstrekkeleg informasjon om korleis du kan rette feilen.</t>
  </si>
  <si>
    <t>Sjemaelement med feilmelding som innholder forslag med tilstrekkeleg informasjon om korleis du kan rette feilen.</t>
  </si>
  <si>
    <r>
      <t>3.3.3 Forslag ved feil:</t>
    </r>
    <r>
      <rPr>
        <sz val="11"/>
        <color theme="1"/>
        <rFont val="Calibri"/>
        <family val="2"/>
        <scheme val="minor"/>
      </rPr>
      <t xml:space="preserve"> Hvis en inndatafeil oppdages automatisk og det finnes forslag til hvordan den kan rettes, presenteres forslagene for brukeren, med mindre dette innebærer risiko for sikkerheten eller formålet med innholdet. (Nivå AA)</t>
    </r>
  </si>
  <si>
    <r>
      <t xml:space="preserve">Krav til samsvar:
</t>
    </r>
    <r>
      <rPr>
        <sz val="11"/>
        <color theme="1"/>
        <rFont val="Calibri"/>
        <family val="2"/>
        <scheme val="minor"/>
      </rPr>
      <t>For alle skjemaelement der inndatafeil blir oppdaga automatisk, får brukaren eit forslag som gir tilstrekkeleg informasjon om korleis feil kan rettast.
Kravet gjeld ikkje dersom:
- det finst ikkje kjente måtar å rette feilen
- inndata er knytta til sikkerheit, for eksempel passord
- forslag til retting undergrev formålet, for eksempel svar i en quiz</t>
    </r>
  </si>
  <si>
    <t>Eventuelt: 
Legg til kommentar som utdjupar testresultat eller liknande.
Trykk på knappen "Legg til data".</t>
  </si>
  <si>
    <r>
      <t xml:space="preserve">Forslag til retting av feil kan
- stå i direkte tilknytning til skjemaelementet, for eksempel i ledeteksten eller feilmeldinga til skjemaelementet
- stå ein eller annan stad på nettsida
- vere lenka til på ei anna nettside. Slike lenker skal stå i nærleiken av skjemaelementet der feilen har oppstått.
</t>
    </r>
    <r>
      <rPr>
        <b/>
        <sz val="11"/>
        <color theme="1"/>
        <rFont val="Calibri"/>
        <family val="2"/>
        <scheme val="minor"/>
      </rPr>
      <t>Merk:</t>
    </r>
    <r>
      <rPr>
        <sz val="11"/>
        <color theme="1"/>
        <rFont val="Calibri"/>
        <family val="2"/>
        <scheme val="minor"/>
      </rPr>
      <t xml:space="preserve"> Du skal ikkje vurdere kvaliteten på forslaget.</t>
    </r>
  </si>
  <si>
    <t>Aktuelle metodar kan vere:
- Bruk internt søk på nettstaden og søk etter skjema
- Gjer ein visuell inspeksjon og leit etter tekst, knappar eller  lenker som indikerer førekomst av skjema. 
Vi testar digitale/interaktive skjemaelement. Eksempel på dette kan vere:
- Kjøp av billett med plassreservasjon.
- Påmelding til arrangement.
- Kjøp av vare.</t>
  </si>
  <si>
    <r>
      <rPr>
        <b/>
        <sz val="11"/>
        <color theme="1"/>
        <rFont val="Calibri"/>
        <family val="2"/>
        <scheme val="minor"/>
      </rPr>
      <t>Merk:</t>
    </r>
    <r>
      <rPr>
        <sz val="11"/>
        <color theme="1"/>
        <rFont val="Calibri"/>
        <family val="2"/>
        <scheme val="minor"/>
      </rPr>
      <t xml:space="preserve"> Skjema i PDF, Word eller liknande, er ikkje aktuelle testobjekt. </t>
    </r>
  </si>
  <si>
    <t>3.3.3 a Inndatafeil som blir oppdaga automatisk, får forslag til retting</t>
  </si>
  <si>
    <t>Sist oppdatert av Difi</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</si>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</sst>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000000"/>
      <name val="Calibri"/>
      <family val="2"/>
    </font>
    <font>
      <sz val="11"/>
      <color theme="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4"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5"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5" xfId="0" applyFont="1" applyBorder="1"/>
    <xf numFmtId="0" fontId="7" fillId="0" borderId="5" xfId="0" applyFont="1" applyBorder="1"/>
    <xf numFmtId="0" fontId="0" fillId="0" borderId="0" xfId="0" applyFill="1"/>
    <xf numFmtId="0" fontId="0" fillId="5" borderId="3"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3" borderId="0" xfId="0" applyFont="1" applyFill="1" applyAlignment="1">
      <alignment vertical="center"/>
    </xf>
    <xf numFmtId="0" fontId="13" fillId="0" borderId="0" xfId="0" applyFont="1" applyAlignment="1">
      <alignment vertical="center"/>
    </xf>
    <xf numFmtId="0" fontId="8" fillId="0" borderId="5" xfId="0" applyFont="1" applyBorder="1" applyAlignment="1">
      <alignment wrapText="1"/>
    </xf>
    <xf numFmtId="0" fontId="9" fillId="0" borderId="1" xfId="0" applyFont="1" applyBorder="1"/>
    <xf numFmtId="0" fontId="8" fillId="0" borderId="2" xfId="0" applyFont="1" applyBorder="1"/>
    <xf numFmtId="0" fontId="6" fillId="7" borderId="5" xfId="0" applyFont="1" applyFill="1" applyBorder="1"/>
    <xf numFmtId="0" fontId="1" fillId="2" borderId="0" xfId="0" applyFont="1" applyFill="1" applyBorder="1" applyAlignment="1">
      <alignment horizontal="center" vertical="center"/>
    </xf>
    <xf numFmtId="0" fontId="15" fillId="9" borderId="0" xfId="0" applyFont="1" applyFill="1"/>
    <xf numFmtId="0" fontId="0" fillId="6" borderId="0" xfId="0" applyFill="1"/>
    <xf numFmtId="0" fontId="0" fillId="0" borderId="6" xfId="0" applyBorder="1"/>
    <xf numFmtId="0" fontId="7" fillId="0" borderId="5" xfId="0" applyFont="1" applyBorder="1" applyAlignment="1">
      <alignment wrapText="1"/>
    </xf>
    <xf numFmtId="0" fontId="16" fillId="7" borderId="12" xfId="0" applyFont="1" applyFill="1" applyBorder="1"/>
    <xf numFmtId="49" fontId="16" fillId="7" borderId="12" xfId="0" applyNumberFormat="1" applyFont="1" applyFill="1" applyBorder="1" applyAlignment="1">
      <alignment horizontal="right"/>
    </xf>
    <xf numFmtId="0" fontId="0" fillId="4" borderId="4" xfId="0" applyFill="1" applyBorder="1"/>
    <xf numFmtId="0" fontId="0" fillId="5" borderId="4" xfId="0" applyFill="1" applyBorder="1" applyAlignment="1">
      <alignment horizontal="left"/>
    </xf>
    <xf numFmtId="0" fontId="0" fillId="6" borderId="0" xfId="0" applyFill="1" applyBorder="1" applyAlignment="1">
      <alignment vertical="center"/>
    </xf>
    <xf numFmtId="0" fontId="5" fillId="6" borderId="0" xfId="0" applyFont="1" applyFill="1" applyBorder="1" applyAlignment="1">
      <alignment vertical="center"/>
    </xf>
    <xf numFmtId="49" fontId="5"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1" fillId="2" borderId="13" xfId="0" applyFont="1" applyFill="1" applyBorder="1" applyAlignment="1">
      <alignment horizontal="left" vertical="center"/>
    </xf>
    <xf numFmtId="0" fontId="1" fillId="2" borderId="13" xfId="0" applyFont="1" applyFill="1" applyBorder="1" applyAlignment="1">
      <alignment vertical="center"/>
    </xf>
    <xf numFmtId="164" fontId="1" fillId="2" borderId="13" xfId="0" applyNumberFormat="1" applyFont="1" applyFill="1" applyBorder="1" applyAlignment="1">
      <alignment vertical="center" wrapText="1"/>
    </xf>
    <xf numFmtId="49" fontId="0" fillId="4" borderId="13" xfId="0" applyNumberFormat="1" applyFill="1" applyBorder="1" applyAlignment="1">
      <alignment horizontal="center" vertical="center"/>
    </xf>
    <xf numFmtId="0" fontId="0" fillId="4" borderId="13" xfId="0" applyFill="1" applyBorder="1" applyAlignment="1">
      <alignment vertical="center"/>
    </xf>
    <xf numFmtId="164" fontId="0" fillId="4" borderId="13" xfId="0" applyNumberFormat="1" applyFill="1" applyBorder="1" applyAlignment="1">
      <alignment vertical="center" wrapText="1"/>
    </xf>
    <xf numFmtId="0" fontId="3" fillId="4" borderId="13" xfId="0" applyFont="1" applyFill="1" applyBorder="1" applyAlignment="1">
      <alignment horizontal="left" vertical="center" wrapText="1"/>
    </xf>
    <xf numFmtId="0" fontId="0" fillId="5" borderId="13" xfId="0" applyFill="1" applyBorder="1" applyAlignment="1">
      <alignment horizontal="center" vertical="center" wrapText="1"/>
    </xf>
    <xf numFmtId="0" fontId="0" fillId="4" borderId="13" xfId="0" applyFill="1" applyBorder="1" applyAlignment="1">
      <alignment vertical="center" wrapText="1"/>
    </xf>
    <xf numFmtId="0" fontId="0" fillId="5" borderId="13" xfId="0" applyNumberFormat="1" applyFill="1" applyBorder="1" applyAlignment="1">
      <alignment horizontal="center" vertical="center" wrapText="1"/>
    </xf>
    <xf numFmtId="0" fontId="10" fillId="4" borderId="13" xfId="0" applyFont="1" applyFill="1" applyBorder="1" applyAlignment="1">
      <alignment horizontal="left" vertical="center" wrapText="1"/>
    </xf>
    <xf numFmtId="0" fontId="0" fillId="4" borderId="13" xfId="0" applyFill="1" applyBorder="1" applyAlignment="1">
      <alignment horizontal="left" vertical="center"/>
    </xf>
    <xf numFmtId="0" fontId="0" fillId="5" borderId="13" xfId="0" applyFill="1" applyBorder="1" applyAlignment="1">
      <alignment horizontal="center" vertical="center"/>
    </xf>
    <xf numFmtId="0" fontId="4" fillId="0" borderId="13" xfId="1" applyBorder="1" applyAlignment="1">
      <alignment horizontal="center" wrapText="1"/>
    </xf>
    <xf numFmtId="0" fontId="0" fillId="0" borderId="13" xfId="0" applyBorder="1" applyAlignment="1">
      <alignment horizontal="center" wrapText="1"/>
    </xf>
    <xf numFmtId="0" fontId="0" fillId="0" borderId="13" xfId="0" applyBorder="1" applyAlignment="1">
      <alignment horizontal="center" vertical="center" wrapText="1"/>
    </xf>
    <xf numFmtId="0" fontId="0" fillId="4" borderId="13" xfId="0" applyFill="1" applyBorder="1" applyAlignment="1">
      <alignment horizontal="center" vertical="center" wrapText="1"/>
    </xf>
    <xf numFmtId="0" fontId="0" fillId="4" borderId="13" xfId="0" applyFont="1" applyFill="1" applyBorder="1" applyAlignment="1">
      <alignment vertical="center" wrapText="1"/>
    </xf>
    <xf numFmtId="0" fontId="0" fillId="4" borderId="13" xfId="0" applyFill="1" applyBorder="1" applyAlignment="1">
      <alignment horizontal="center" vertical="center"/>
    </xf>
    <xf numFmtId="0" fontId="11" fillId="0" borderId="13" xfId="0" applyFont="1" applyFill="1" applyBorder="1" applyAlignment="1">
      <alignmen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6" fillId="7" borderId="7" xfId="0" applyFont="1" applyFill="1" applyBorder="1" applyAlignment="1">
      <alignment horizontal="left"/>
    </xf>
    <xf numFmtId="0" fontId="16" fillId="7" borderId="8" xfId="0" applyFont="1" applyFill="1" applyBorder="1" applyAlignment="1">
      <alignment horizontal="left"/>
    </xf>
    <xf numFmtId="0" fontId="16" fillId="7" borderId="9" xfId="0" applyFont="1" applyFill="1" applyBorder="1" applyAlignment="1">
      <alignment horizontal="left"/>
    </xf>
    <xf numFmtId="0" fontId="16" fillId="7" borderId="10" xfId="0" applyFont="1" applyFill="1" applyBorder="1" applyAlignment="1">
      <alignment horizontal="center"/>
    </xf>
    <xf numFmtId="0" fontId="16" fillId="7" borderId="11" xfId="0" applyFont="1" applyFill="1" applyBorder="1" applyAlignment="1">
      <alignment horizontal="center"/>
    </xf>
  </cellXfs>
  <cellStyles count="2">
    <cellStyle name="Hyperkobling" xfId="1" builtinId="8"/>
    <cellStyle name="Normal" xfId="0" builtinId="0"/>
  </cellStyles>
  <dxfs count="32">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23</xdr:row>
          <xdr:rowOff>9525</xdr:rowOff>
        </xdr:from>
        <xdr:to>
          <xdr:col>5</xdr:col>
          <xdr:colOff>0</xdr:colOff>
          <xdr:row>24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3533774</xdr:colOff>
      <xdr:row>15</xdr:row>
      <xdr:rowOff>142875</xdr:rowOff>
    </xdr:from>
    <xdr:to>
      <xdr:col>4</xdr:col>
      <xdr:colOff>942974</xdr:colOff>
      <xdr:row>15</xdr:row>
      <xdr:rowOff>407435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343774" y="15116175"/>
          <a:ext cx="27146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skjema</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3362325</xdr:colOff>
          <xdr:row>15</xdr:row>
          <xdr:rowOff>114300</xdr:rowOff>
        </xdr:from>
        <xdr:to>
          <xdr:col>4</xdr:col>
          <xdr:colOff>695325</xdr:colOff>
          <xdr:row>15</xdr:row>
          <xdr:rowOff>447675</xdr:rowOff>
        </xdr:to>
        <xdr:sp macro="" textlink="">
          <xdr:nvSpPr>
            <xdr:cNvPr id="2054" name="Avmerkingsboks" descr="Registere flere element på same sid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257175</xdr:colOff>
      <xdr:row>1</xdr:row>
      <xdr:rowOff>342900</xdr:rowOff>
    </xdr:from>
    <xdr:to>
      <xdr:col>4</xdr:col>
      <xdr:colOff>657225</xdr:colOff>
      <xdr:row>1</xdr:row>
      <xdr:rowOff>838200</xdr:rowOff>
    </xdr:to>
    <xdr:pic>
      <xdr:nvPicPr>
        <xdr:cNvPr id="6" name="Bilde 5" descr="https://www.difi.no/_style/design/difi3/img/difi-logo.png">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7524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315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908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192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3"/>
  <sheetViews>
    <sheetView showGridLines="0" tabSelected="1" zoomScaleNormal="100" workbookViewId="0">
      <selection activeCell="D10" sqref="D10"/>
    </sheetView>
  </sheetViews>
  <sheetFormatPr baseColWidth="10" defaultColWidth="11.5703125" defaultRowHeight="15" outlineLevelRow="1" x14ac:dyDescent="0.25"/>
  <cols>
    <col min="1" max="1" width="6.5703125" style="1" customWidth="1"/>
    <col min="2" max="2" width="50.5703125" style="1" customWidth="1"/>
    <col min="3" max="3" width="56.7109375" style="1" customWidth="1"/>
    <col min="4" max="4" width="22.85546875" style="1" customWidth="1"/>
    <col min="5" max="5" width="15.5703125" style="1" customWidth="1"/>
    <col min="6" max="16384" width="11.5703125" style="1"/>
  </cols>
  <sheetData>
    <row r="1" spans="1:11" s="50" customFormat="1" ht="30" customHeight="1" x14ac:dyDescent="0.25">
      <c r="A1" s="48" t="s">
        <v>116</v>
      </c>
      <c r="B1" s="49"/>
      <c r="C1" s="49"/>
      <c r="D1" s="49"/>
      <c r="E1" s="49"/>
    </row>
    <row r="2" spans="1:11" s="92" customFormat="1" ht="150" outlineLevel="1" x14ac:dyDescent="0.25">
      <c r="A2" s="90" t="s">
        <v>8</v>
      </c>
      <c r="B2" s="91" t="s">
        <v>110</v>
      </c>
      <c r="C2" s="91" t="s">
        <v>111</v>
      </c>
      <c r="D2" s="88" t="s">
        <v>117</v>
      </c>
      <c r="E2" s="89">
        <v>42901</v>
      </c>
    </row>
    <row r="3" spans="1:11" ht="30" customHeight="1" x14ac:dyDescent="0.25">
      <c r="A3" s="65" t="s">
        <v>3</v>
      </c>
      <c r="B3" s="64"/>
      <c r="C3" s="64"/>
      <c r="D3" s="64"/>
      <c r="E3" s="64"/>
    </row>
    <row r="4" spans="1:11" ht="39" customHeight="1" x14ac:dyDescent="0.25">
      <c r="A4" s="68" t="s">
        <v>70</v>
      </c>
      <c r="B4" s="69" t="s">
        <v>17</v>
      </c>
      <c r="C4" s="69" t="s">
        <v>15</v>
      </c>
      <c r="D4" s="70" t="s">
        <v>7</v>
      </c>
      <c r="E4" s="68" t="s">
        <v>14</v>
      </c>
    </row>
    <row r="5" spans="1:11" x14ac:dyDescent="0.25">
      <c r="A5" s="71" t="s">
        <v>1</v>
      </c>
      <c r="B5" s="72" t="s">
        <v>25</v>
      </c>
      <c r="C5" s="72"/>
      <c r="D5" s="73"/>
      <c r="E5" s="74"/>
    </row>
    <row r="6" spans="1:11" ht="30" customHeight="1" x14ac:dyDescent="0.25">
      <c r="A6" s="71" t="s">
        <v>2</v>
      </c>
      <c r="B6" s="72" t="s">
        <v>26</v>
      </c>
      <c r="C6" s="72" t="s">
        <v>27</v>
      </c>
      <c r="D6" s="75"/>
      <c r="E6" s="74"/>
    </row>
    <row r="7" spans="1:11" ht="30" customHeight="1" x14ac:dyDescent="0.25">
      <c r="A7" s="71" t="s">
        <v>13</v>
      </c>
      <c r="B7" s="76" t="s">
        <v>28</v>
      </c>
      <c r="C7" s="76" t="s">
        <v>29</v>
      </c>
      <c r="D7" s="77"/>
      <c r="E7" s="74"/>
    </row>
    <row r="8" spans="1:11" ht="30" customHeight="1" x14ac:dyDescent="0.25">
      <c r="A8" s="66" t="s">
        <v>60</v>
      </c>
      <c r="B8" s="67"/>
      <c r="C8" s="67"/>
      <c r="D8" s="67"/>
      <c r="E8" s="67"/>
      <c r="F8"/>
      <c r="G8"/>
      <c r="H8"/>
      <c r="I8"/>
      <c r="J8"/>
      <c r="K8"/>
    </row>
    <row r="9" spans="1:11" ht="39" customHeight="1" x14ac:dyDescent="0.25">
      <c r="A9" s="68" t="s">
        <v>70</v>
      </c>
      <c r="B9" s="69" t="s">
        <v>17</v>
      </c>
      <c r="C9" s="69" t="s">
        <v>15</v>
      </c>
      <c r="D9" s="70" t="s">
        <v>7</v>
      </c>
      <c r="E9" s="68" t="s">
        <v>14</v>
      </c>
    </row>
    <row r="10" spans="1:11" ht="165" x14ac:dyDescent="0.25">
      <c r="A10" s="71" t="s">
        <v>46</v>
      </c>
      <c r="B10" s="76" t="s">
        <v>45</v>
      </c>
      <c r="C10" s="76" t="s">
        <v>114</v>
      </c>
      <c r="D10" s="76"/>
      <c r="E10" s="78"/>
    </row>
    <row r="11" spans="1:11" ht="60" x14ac:dyDescent="0.25">
      <c r="A11" s="71" t="s">
        <v>61</v>
      </c>
      <c r="B11" s="76" t="s">
        <v>71</v>
      </c>
      <c r="C11" s="76" t="s">
        <v>115</v>
      </c>
      <c r="D11" s="75"/>
      <c r="E11" s="79"/>
    </row>
    <row r="12" spans="1:11" ht="135" x14ac:dyDescent="0.25">
      <c r="A12" s="71" t="s">
        <v>51</v>
      </c>
      <c r="B12" s="76" t="s">
        <v>72</v>
      </c>
      <c r="C12" s="76" t="s">
        <v>58</v>
      </c>
      <c r="D12" s="75"/>
      <c r="E12" s="79"/>
    </row>
    <row r="13" spans="1:11" ht="300" x14ac:dyDescent="0.25">
      <c r="A13" s="71" t="s">
        <v>52</v>
      </c>
      <c r="B13" s="76" t="s">
        <v>95</v>
      </c>
      <c r="C13" s="76" t="s">
        <v>64</v>
      </c>
      <c r="D13" s="80"/>
      <c r="E13" s="79"/>
    </row>
    <row r="14" spans="1:11" ht="30" x14ac:dyDescent="0.25">
      <c r="A14" s="71" t="s">
        <v>62</v>
      </c>
      <c r="B14" s="72" t="s">
        <v>47</v>
      </c>
      <c r="C14" s="76" t="s">
        <v>48</v>
      </c>
      <c r="D14" s="81"/>
      <c r="E14" s="79"/>
    </row>
    <row r="15" spans="1:11" ht="30" customHeight="1" x14ac:dyDescent="0.25">
      <c r="A15" s="71" t="s">
        <v>63</v>
      </c>
      <c r="B15" s="76" t="s">
        <v>49</v>
      </c>
      <c r="C15" s="76" t="s">
        <v>50</v>
      </c>
      <c r="D15" s="82"/>
      <c r="E15" s="79"/>
      <c r="F15"/>
      <c r="G15"/>
      <c r="H15"/>
      <c r="I15"/>
      <c r="J15"/>
      <c r="K15"/>
    </row>
    <row r="16" spans="1:11" ht="39" customHeight="1" x14ac:dyDescent="0.25">
      <c r="A16" s="66" t="s">
        <v>56</v>
      </c>
      <c r="B16" s="64"/>
      <c r="C16" s="64"/>
      <c r="D16" s="64"/>
      <c r="E16" s="64"/>
      <c r="F16"/>
      <c r="G16"/>
      <c r="H16"/>
      <c r="I16"/>
      <c r="J16"/>
      <c r="K16"/>
    </row>
    <row r="17" spans="1:5" ht="39" customHeight="1" x14ac:dyDescent="0.25">
      <c r="A17" s="68" t="s">
        <v>70</v>
      </c>
      <c r="B17" s="69" t="s">
        <v>17</v>
      </c>
      <c r="C17" s="69" t="s">
        <v>15</v>
      </c>
      <c r="D17" s="70"/>
      <c r="E17" s="68" t="s">
        <v>14</v>
      </c>
    </row>
    <row r="18" spans="1:5" x14ac:dyDescent="0.25">
      <c r="A18" s="71" t="s">
        <v>53</v>
      </c>
      <c r="B18" s="76" t="s">
        <v>54</v>
      </c>
      <c r="C18" s="76" t="s">
        <v>55</v>
      </c>
      <c r="D18" s="83"/>
      <c r="E18" s="79"/>
    </row>
    <row r="19" spans="1:5" ht="60" x14ac:dyDescent="0.25">
      <c r="A19" s="71" t="s">
        <v>22</v>
      </c>
      <c r="B19" s="76" t="s">
        <v>85</v>
      </c>
      <c r="C19" s="76" t="s">
        <v>57</v>
      </c>
      <c r="D19" s="80"/>
      <c r="E19" s="84" t="s">
        <v>67</v>
      </c>
    </row>
    <row r="20" spans="1:5" ht="120" x14ac:dyDescent="0.25">
      <c r="A20" s="71" t="s">
        <v>30</v>
      </c>
      <c r="B20" s="76" t="s">
        <v>83</v>
      </c>
      <c r="C20" s="76" t="s">
        <v>113</v>
      </c>
      <c r="D20" s="83"/>
      <c r="E20" s="84" t="s">
        <v>69</v>
      </c>
    </row>
    <row r="21" spans="1:5" ht="180" x14ac:dyDescent="0.25">
      <c r="A21" s="71" t="s">
        <v>23</v>
      </c>
      <c r="B21" s="85" t="s">
        <v>84</v>
      </c>
      <c r="C21" s="76" t="s">
        <v>66</v>
      </c>
      <c r="D21" s="83"/>
      <c r="E21" s="86" t="s">
        <v>68</v>
      </c>
    </row>
    <row r="22" spans="1:5" ht="225" x14ac:dyDescent="0.25">
      <c r="A22" s="71" t="s">
        <v>31</v>
      </c>
      <c r="B22" s="76" t="s">
        <v>59</v>
      </c>
      <c r="C22" s="76" t="s">
        <v>65</v>
      </c>
      <c r="D22" s="83"/>
      <c r="E22" s="79"/>
    </row>
    <row r="23" spans="1:5" ht="75" x14ac:dyDescent="0.25">
      <c r="A23" s="71" t="s">
        <v>24</v>
      </c>
      <c r="B23" s="78" t="s">
        <v>112</v>
      </c>
      <c r="C23" s="76" t="s">
        <v>41</v>
      </c>
      <c r="D23" s="87"/>
      <c r="E23" s="74"/>
    </row>
    <row r="24" spans="1:5" ht="28.5" customHeight="1" x14ac:dyDescent="0.25">
      <c r="A24" s="22" t="s">
        <v>40</v>
      </c>
      <c r="B24" s="17"/>
      <c r="C24" s="17"/>
      <c r="D24" s="34"/>
      <c r="E24" s="35"/>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5:E189">
    <cfRule type="cellIs" dxfId="31" priority="78" operator="equal">
      <formula>"JA"</formula>
    </cfRule>
  </conditionalFormatting>
  <conditionalFormatting sqref="E25:E347">
    <cfRule type="cellIs" dxfId="30" priority="77" operator="equal">
      <formula>"Nei"</formula>
    </cfRule>
  </conditionalFormatting>
  <conditionalFormatting sqref="D11:D12">
    <cfRule type="expression" dxfId="29" priority="56">
      <formula>#REF!="Nei"</formula>
    </cfRule>
  </conditionalFormatting>
  <conditionalFormatting sqref="D11:D12">
    <cfRule type="expression" dxfId="28" priority="57">
      <formula>s2.4="Ja"</formula>
    </cfRule>
  </conditionalFormatting>
  <conditionalFormatting sqref="D6:D7">
    <cfRule type="expression" dxfId="27" priority="104">
      <formula>$D$10="nei"</formula>
    </cfRule>
  </conditionalFormatting>
  <conditionalFormatting sqref="D12:D15 D18:D22">
    <cfRule type="expression" dxfId="26" priority="105">
      <formula>$D$11="Nei"</formula>
    </cfRule>
  </conditionalFormatting>
  <conditionalFormatting sqref="D18">
    <cfRule type="expression" dxfId="25" priority="6">
      <formula>$D$15="nei"</formula>
    </cfRule>
  </conditionalFormatting>
  <conditionalFormatting sqref="D18">
    <cfRule type="expression" dxfId="24" priority="7">
      <formula>$D$11="Nei"</formula>
    </cfRule>
  </conditionalFormatting>
  <conditionalFormatting sqref="D20:D22">
    <cfRule type="expression" dxfId="23" priority="5">
      <formula>$D$19="Nei"</formula>
    </cfRule>
  </conditionalFormatting>
  <conditionalFormatting sqref="D21">
    <cfRule type="expression" dxfId="22" priority="4">
      <formula>$D$20="nei"</formula>
    </cfRule>
  </conditionalFormatting>
  <conditionalFormatting sqref="D13:D15 D18:D22">
    <cfRule type="expression" dxfId="21" priority="3">
      <formula>$D$12="ja"</formula>
    </cfRule>
  </conditionalFormatting>
  <conditionalFormatting sqref="D14:D15 D18:D22">
    <cfRule type="expression" dxfId="20" priority="2">
      <formula>$D$13="nei"</formula>
    </cfRule>
  </conditionalFormatting>
  <conditionalFormatting sqref="D22">
    <cfRule type="expression" dxfId="19" priority="1">
      <formula>$D$21="ja"</formula>
    </cfRule>
  </conditionalFormatting>
  <dataValidations count="1">
    <dataValidation allowBlank="1" showInputMessage="1" showErrorMessage="1" errorTitle="Spørsmål 2.7" error="Svar Ja eller Nei" sqref="D23"/>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23</xdr:row>
                    <xdr:rowOff>9525</xdr:rowOff>
                  </from>
                  <to>
                    <xdr:col>5</xdr:col>
                    <xdr:colOff>0</xdr:colOff>
                    <xdr:row>24</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ltText="Registere flere element på same side">
                <anchor moveWithCells="1">
                  <from>
                    <xdr:col>2</xdr:col>
                    <xdr:colOff>3362325</xdr:colOff>
                    <xdr:row>15</xdr:row>
                    <xdr:rowOff>114300</xdr:rowOff>
                  </from>
                  <to>
                    <xdr:col>4</xdr:col>
                    <xdr:colOff>695325</xdr:colOff>
                    <xdr:row>15</xdr:row>
                    <xdr:rowOff>447675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Logikk!$B$28:$B$36</xm:f>
          </x14:formula1>
          <xm:sqref>B95:B267</xm:sqref>
        </x14:dataValidation>
        <x14:dataValidation type="list" allowBlank="1" showInputMessage="1">
          <x14:formula1>
            <xm:f>Logikk!$E$2:$E$6</xm:f>
          </x14:formula1>
          <xm:sqref>D6</xm:sqref>
        </x14:dataValidation>
        <x14:dataValidation type="list" allowBlank="1" showInputMessage="1" showErrorMessage="1" errorTitle="Spørsmål 2.7" error="Svar Ja eller Nei">
          <x14:formula1>
            <xm:f>Logikk!$D$2:$D$3</xm:f>
          </x14:formula1>
          <xm:sqref>D11:D12</xm:sqref>
        </x14:dataValidation>
        <x14:dataValidation type="list" allowBlank="1" showInputMessage="1" showErrorMessage="1">
          <x14:formula1>
            <xm:f>Logikk!$D$2:$D$3</xm:f>
          </x14:formula1>
          <xm:sqref>D19:D22 D13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52"/>
  <sheetViews>
    <sheetView showGridLines="0" zoomScaleNormal="100" workbookViewId="0">
      <selection activeCell="D11" sqref="D11"/>
    </sheetView>
  </sheetViews>
  <sheetFormatPr baseColWidth="10" defaultColWidth="11.5703125" defaultRowHeight="15" outlineLevelRow="1" x14ac:dyDescent="0.25"/>
  <cols>
    <col min="1" max="1" width="15" style="47" customWidth="1"/>
    <col min="2" max="2" width="23.7109375" style="1" customWidth="1"/>
    <col min="3" max="3" width="57.42578125" style="1" customWidth="1"/>
    <col min="4" max="4" width="14.140625" style="1" customWidth="1"/>
    <col min="5" max="5" width="50.5703125" style="1" customWidth="1"/>
    <col min="6" max="6" width="50.5703125" style="47" customWidth="1"/>
    <col min="7" max="8" width="18" style="1" customWidth="1"/>
    <col min="9" max="12" width="8.5703125" style="21" customWidth="1"/>
    <col min="13" max="16384" width="11.5703125" style="1"/>
  </cols>
  <sheetData>
    <row r="1" spans="1:12" ht="30" customHeight="1" x14ac:dyDescent="0.25">
      <c r="A1" s="48" t="str">
        <f>Registering!A1</f>
        <v>3.3.3 a Inndatafeil som blir oppdaga automatisk, får forslag til retting</v>
      </c>
      <c r="B1" s="16"/>
      <c r="C1" s="16"/>
      <c r="D1" s="16"/>
      <c r="E1" s="16"/>
      <c r="F1" s="16"/>
      <c r="G1" s="16"/>
      <c r="H1" s="16"/>
      <c r="I1" s="16"/>
      <c r="J1" s="16"/>
      <c r="K1" s="16"/>
      <c r="L1" s="16"/>
    </row>
    <row r="2" spans="1:12" ht="180" hidden="1" outlineLevel="1" x14ac:dyDescent="0.25">
      <c r="A2" s="64" t="s">
        <v>8</v>
      </c>
      <c r="B2" s="15" t="str">
        <f>Registering!B2</f>
        <v>3.3.3 Forslag ved feil: Hvis en inndatafeil oppdages automatisk og det finnes forslag til hvordan den kan rettes, presenteres forslagene for brukeren, med mindre dette innebærer risiko for sikkerheten eller formålet med innholdet. (Nivå AA)</v>
      </c>
      <c r="C2" s="15"/>
      <c r="D2" s="17"/>
      <c r="E2" s="17"/>
      <c r="F2" s="17"/>
      <c r="G2" s="17"/>
      <c r="H2" s="17"/>
      <c r="I2" s="17"/>
      <c r="J2" s="17"/>
      <c r="K2" s="17"/>
      <c r="L2" s="17"/>
    </row>
    <row r="3" spans="1:12" ht="30" customHeight="1" collapsed="1" x14ac:dyDescent="0.25">
      <c r="A3" s="36" t="s">
        <v>32</v>
      </c>
      <c r="B3" s="17"/>
      <c r="C3" s="17"/>
      <c r="D3" s="17"/>
      <c r="E3" s="17"/>
      <c r="F3" s="35"/>
      <c r="G3" s="17"/>
      <c r="H3" s="17"/>
      <c r="I3" s="37"/>
      <c r="J3" s="37"/>
      <c r="K3" s="37"/>
      <c r="L3" s="37"/>
    </row>
    <row r="4" spans="1:12" x14ac:dyDescent="0.25">
      <c r="A4" s="38" t="s">
        <v>33</v>
      </c>
      <c r="B4" s="24"/>
      <c r="C4" s="25"/>
      <c r="D4" s="25"/>
      <c r="E4" s="17"/>
      <c r="F4" s="17"/>
      <c r="G4" s="17"/>
      <c r="H4" s="17"/>
      <c r="I4" s="37"/>
      <c r="J4" s="37"/>
      <c r="K4" s="37"/>
      <c r="L4" s="37"/>
    </row>
    <row r="5" spans="1:12" x14ac:dyDescent="0.25">
      <c r="A5" s="25"/>
      <c r="B5" s="24" t="s">
        <v>77</v>
      </c>
      <c r="C5" s="20"/>
      <c r="D5" s="25"/>
      <c r="E5" s="17"/>
      <c r="F5" s="17"/>
      <c r="G5" s="17"/>
      <c r="H5" s="17"/>
      <c r="I5" s="37"/>
      <c r="J5" s="37"/>
      <c r="K5" s="37"/>
      <c r="L5" s="37"/>
    </row>
    <row r="6" spans="1:12" x14ac:dyDescent="0.25">
      <c r="A6" s="25"/>
      <c r="B6" s="24" t="s">
        <v>79</v>
      </c>
      <c r="C6" s="20"/>
      <c r="D6" s="25"/>
      <c r="E6" s="17"/>
      <c r="F6" s="17"/>
      <c r="G6" s="17"/>
      <c r="H6" s="17"/>
      <c r="I6" s="37"/>
      <c r="J6" s="37"/>
      <c r="K6" s="37"/>
      <c r="L6" s="37"/>
    </row>
    <row r="7" spans="1:12" x14ac:dyDescent="0.25">
      <c r="A7" s="25"/>
      <c r="B7" s="24" t="s">
        <v>94</v>
      </c>
      <c r="C7" s="20"/>
      <c r="D7" s="25"/>
      <c r="E7" s="17"/>
      <c r="F7" s="17"/>
      <c r="G7" s="17"/>
      <c r="H7" s="17"/>
      <c r="I7" s="37"/>
      <c r="J7" s="37"/>
      <c r="K7" s="37"/>
      <c r="L7" s="37"/>
    </row>
    <row r="8" spans="1:12" x14ac:dyDescent="0.25">
      <c r="A8" s="29"/>
      <c r="B8" s="19" t="s">
        <v>90</v>
      </c>
      <c r="C8" s="20"/>
      <c r="D8" s="25"/>
      <c r="E8" s="17"/>
      <c r="F8" s="17"/>
      <c r="G8" s="17"/>
      <c r="H8" s="17"/>
      <c r="I8" s="37"/>
      <c r="J8" s="37"/>
      <c r="K8" s="37"/>
      <c r="L8" s="37"/>
    </row>
    <row r="9" spans="1:12" ht="30" customHeight="1" collapsed="1" x14ac:dyDescent="0.25">
      <c r="A9" s="36" t="s">
        <v>34</v>
      </c>
      <c r="B9" s="17"/>
      <c r="C9" s="17"/>
      <c r="D9" s="17"/>
      <c r="E9" s="17"/>
      <c r="F9" s="35"/>
      <c r="G9" s="17"/>
      <c r="H9" s="17"/>
      <c r="I9" s="37"/>
      <c r="J9" s="37"/>
      <c r="K9" s="37"/>
      <c r="L9" s="37"/>
    </row>
    <row r="10" spans="1:12" x14ac:dyDescent="0.25">
      <c r="A10" s="38" t="s">
        <v>35</v>
      </c>
      <c r="B10" s="24"/>
      <c r="C10" s="20"/>
      <c r="D10" s="25"/>
      <c r="E10" s="17"/>
      <c r="F10" s="17"/>
      <c r="G10" s="17"/>
      <c r="H10" s="17"/>
      <c r="I10" s="37"/>
      <c r="J10" s="37"/>
      <c r="K10" s="37"/>
      <c r="L10" s="37"/>
    </row>
    <row r="11" spans="1:12" x14ac:dyDescent="0.25">
      <c r="A11" s="25"/>
      <c r="B11" s="24" t="s">
        <v>37</v>
      </c>
      <c r="C11" s="20"/>
      <c r="D11" s="25">
        <f>COUNTA(A16:A700)</f>
        <v>0</v>
      </c>
      <c r="E11" s="17"/>
      <c r="F11" s="17"/>
      <c r="G11" s="17"/>
      <c r="H11" s="17"/>
      <c r="I11" s="37"/>
      <c r="J11" s="37"/>
      <c r="K11" s="37"/>
      <c r="L11" s="37"/>
    </row>
    <row r="12" spans="1:12" x14ac:dyDescent="0.25">
      <c r="A12" s="25"/>
      <c r="B12" s="26" t="s">
        <v>38</v>
      </c>
      <c r="C12" s="20"/>
      <c r="D12" s="25">
        <f>COUNTIF(D16:D700,"NEI")</f>
        <v>0</v>
      </c>
      <c r="E12" s="17"/>
      <c r="F12" s="17"/>
      <c r="G12" s="17"/>
      <c r="H12" s="17"/>
      <c r="I12" s="37"/>
      <c r="J12" s="37"/>
      <c r="K12" s="37"/>
      <c r="L12" s="37"/>
    </row>
    <row r="13" spans="1:12" x14ac:dyDescent="0.25">
      <c r="A13" s="25"/>
      <c r="B13" s="26" t="s">
        <v>39</v>
      </c>
      <c r="C13" s="20"/>
      <c r="D13" s="25">
        <f>COUNTIF(D$16:D700,"JA")</f>
        <v>0</v>
      </c>
      <c r="E13" s="17"/>
      <c r="F13" s="17"/>
      <c r="G13" s="17"/>
      <c r="H13" s="17"/>
      <c r="I13" s="37"/>
      <c r="J13" s="37"/>
      <c r="K13" s="37"/>
      <c r="L13" s="37"/>
    </row>
    <row r="14" spans="1:12" ht="30" customHeight="1" collapsed="1" x14ac:dyDescent="0.25">
      <c r="A14" s="36" t="s">
        <v>36</v>
      </c>
      <c r="B14" s="17"/>
      <c r="C14" s="17"/>
      <c r="D14" s="17"/>
      <c r="E14" s="17"/>
      <c r="F14" s="35"/>
      <c r="G14" s="17"/>
      <c r="H14" s="17"/>
      <c r="I14" s="37"/>
      <c r="J14" s="37"/>
      <c r="K14" s="37"/>
      <c r="L14" s="37"/>
    </row>
    <row r="15" spans="1:12" ht="39" customHeight="1" x14ac:dyDescent="0.25">
      <c r="A15" s="39" t="s">
        <v>0</v>
      </c>
      <c r="B15" s="18" t="s">
        <v>16</v>
      </c>
      <c r="C15" s="18" t="s">
        <v>44</v>
      </c>
      <c r="D15" s="40" t="s">
        <v>6</v>
      </c>
      <c r="E15" s="18" t="s">
        <v>118</v>
      </c>
      <c r="F15" s="18" t="s">
        <v>4</v>
      </c>
      <c r="G15" s="39" t="s">
        <v>9</v>
      </c>
      <c r="H15" s="55" t="s">
        <v>73</v>
      </c>
      <c r="I15" s="41" t="s">
        <v>22</v>
      </c>
      <c r="J15" s="41" t="s">
        <v>30</v>
      </c>
      <c r="K15" s="41" t="s">
        <v>23</v>
      </c>
      <c r="L15" s="41" t="s">
        <v>31</v>
      </c>
    </row>
    <row r="16" spans="1:12" x14ac:dyDescent="0.25">
      <c r="A16" s="42"/>
      <c r="B16" s="23"/>
      <c r="C16" s="27"/>
      <c r="D16" s="28"/>
      <c r="E16" s="23"/>
      <c r="F16" s="33"/>
      <c r="G16" s="44"/>
      <c r="H16" s="44"/>
      <c r="I16" s="28"/>
      <c r="J16" s="28"/>
      <c r="K16" s="28"/>
      <c r="L16" s="28"/>
    </row>
    <row r="17" spans="1:12" x14ac:dyDescent="0.25">
      <c r="A17" s="42"/>
      <c r="B17" s="23"/>
      <c r="C17" s="27"/>
      <c r="D17" s="28"/>
      <c r="E17" s="23"/>
      <c r="F17" s="33"/>
      <c r="G17" s="44"/>
      <c r="H17" s="44"/>
      <c r="I17" s="28"/>
      <c r="J17" s="45"/>
      <c r="K17" s="28"/>
      <c r="L17" s="28"/>
    </row>
    <row r="18" spans="1:12" x14ac:dyDescent="0.25">
      <c r="A18" s="42"/>
      <c r="B18" s="23"/>
      <c r="C18" s="27"/>
      <c r="D18" s="28"/>
      <c r="E18" s="23"/>
      <c r="F18" s="33"/>
      <c r="G18" s="44"/>
      <c r="H18" s="44"/>
      <c r="I18" s="28"/>
      <c r="J18" s="28"/>
      <c r="K18" s="28"/>
      <c r="L18" s="28"/>
    </row>
    <row r="19" spans="1:12" x14ac:dyDescent="0.25">
      <c r="A19" s="42"/>
      <c r="B19" s="23"/>
      <c r="C19" s="27"/>
      <c r="D19" s="28"/>
      <c r="E19" s="23"/>
      <c r="F19" s="33"/>
      <c r="G19" s="44"/>
      <c r="H19" s="44"/>
      <c r="I19" s="28"/>
      <c r="J19" s="28"/>
      <c r="K19" s="28"/>
      <c r="L19" s="28"/>
    </row>
    <row r="20" spans="1:12" x14ac:dyDescent="0.25">
      <c r="A20" s="43"/>
      <c r="B20" s="23"/>
      <c r="C20" s="27"/>
      <c r="D20" s="28"/>
      <c r="E20" s="23"/>
      <c r="F20" s="33"/>
      <c r="G20" s="33"/>
      <c r="H20" s="33"/>
      <c r="I20" s="28"/>
      <c r="J20" s="28"/>
      <c r="K20" s="28"/>
      <c r="L20" s="28"/>
    </row>
    <row r="21" spans="1:12" x14ac:dyDescent="0.25">
      <c r="A21" s="43"/>
      <c r="B21" s="23"/>
      <c r="C21" s="27"/>
      <c r="D21" s="28"/>
      <c r="E21" s="23"/>
      <c r="F21" s="33"/>
      <c r="G21" s="33"/>
      <c r="H21" s="33"/>
      <c r="I21" s="28"/>
      <c r="J21" s="28"/>
      <c r="K21" s="28"/>
      <c r="L21" s="28"/>
    </row>
    <row r="22" spans="1:12" x14ac:dyDescent="0.25">
      <c r="A22" s="43"/>
      <c r="B22" s="23"/>
      <c r="C22" s="27"/>
      <c r="D22" s="28"/>
      <c r="E22" s="23"/>
      <c r="F22" s="33"/>
      <c r="G22" s="33"/>
      <c r="H22" s="33"/>
      <c r="I22" s="28"/>
      <c r="J22" s="28"/>
      <c r="K22" s="28"/>
      <c r="L22" s="28"/>
    </row>
    <row r="23" spans="1:12" x14ac:dyDescent="0.25">
      <c r="A23" s="43"/>
      <c r="B23" s="23"/>
      <c r="C23" s="27"/>
      <c r="D23" s="28"/>
      <c r="E23" s="23"/>
      <c r="F23" s="33"/>
      <c r="G23" s="33"/>
      <c r="H23" s="33"/>
      <c r="I23" s="28"/>
      <c r="J23" s="28"/>
      <c r="K23" s="28"/>
      <c r="L23" s="28"/>
    </row>
    <row r="24" spans="1:12" x14ac:dyDescent="0.25">
      <c r="A24" s="43"/>
      <c r="B24" s="23"/>
      <c r="C24" s="27"/>
      <c r="D24" s="28"/>
      <c r="E24" s="23"/>
      <c r="F24" s="33"/>
      <c r="G24" s="33"/>
      <c r="H24" s="33"/>
      <c r="I24" s="28"/>
      <c r="J24" s="28"/>
      <c r="K24" s="28"/>
      <c r="L24" s="28"/>
    </row>
    <row r="25" spans="1:12" x14ac:dyDescent="0.25">
      <c r="A25" s="43"/>
      <c r="B25" s="23"/>
      <c r="C25" s="27"/>
      <c r="D25" s="28"/>
      <c r="E25" s="23"/>
      <c r="F25" s="46"/>
      <c r="G25" s="33"/>
      <c r="H25" s="33"/>
      <c r="I25" s="28"/>
      <c r="J25" s="28"/>
      <c r="K25" s="28"/>
      <c r="L25" s="28"/>
    </row>
    <row r="26" spans="1:12" x14ac:dyDescent="0.25">
      <c r="A26" s="43"/>
      <c r="B26" s="23"/>
      <c r="C26" s="27"/>
      <c r="D26" s="28"/>
      <c r="E26" s="23"/>
      <c r="F26" s="46"/>
      <c r="G26" s="33"/>
      <c r="H26" s="33"/>
      <c r="I26" s="28"/>
      <c r="J26" s="28"/>
      <c r="K26" s="28"/>
      <c r="L26" s="28"/>
    </row>
    <row r="27" spans="1:12" x14ac:dyDescent="0.25">
      <c r="A27" s="43"/>
      <c r="B27" s="23"/>
      <c r="C27" s="27"/>
      <c r="D27" s="28"/>
      <c r="E27" s="23"/>
      <c r="F27" s="46"/>
      <c r="G27" s="33"/>
      <c r="H27" s="33"/>
      <c r="I27" s="28"/>
      <c r="J27" s="28"/>
      <c r="K27" s="28"/>
      <c r="L27" s="28"/>
    </row>
    <row r="28" spans="1:12" x14ac:dyDescent="0.25">
      <c r="A28" s="43"/>
      <c r="B28" s="23"/>
      <c r="C28" s="27"/>
      <c r="D28" s="28"/>
      <c r="E28" s="23"/>
      <c r="F28" s="46"/>
      <c r="G28" s="33"/>
      <c r="H28" s="33"/>
      <c r="I28" s="28"/>
      <c r="J28" s="28"/>
      <c r="K28" s="28"/>
      <c r="L28" s="28"/>
    </row>
    <row r="29" spans="1:12" x14ac:dyDescent="0.25">
      <c r="A29" s="43"/>
      <c r="B29" s="23"/>
      <c r="C29" s="27"/>
      <c r="D29" s="28"/>
      <c r="E29" s="23"/>
      <c r="F29" s="46"/>
      <c r="G29" s="33"/>
      <c r="H29" s="33"/>
      <c r="I29" s="28"/>
      <c r="J29" s="28"/>
      <c r="K29" s="28"/>
      <c r="L29" s="28"/>
    </row>
    <row r="30" spans="1:12" x14ac:dyDescent="0.25">
      <c r="A30" s="43"/>
      <c r="B30" s="23"/>
      <c r="C30" s="27"/>
      <c r="D30" s="28"/>
      <c r="E30" s="23"/>
      <c r="F30" s="46"/>
      <c r="G30" s="33"/>
      <c r="H30" s="33"/>
      <c r="I30" s="28"/>
      <c r="J30" s="28"/>
      <c r="K30" s="28"/>
      <c r="L30" s="28"/>
    </row>
    <row r="31" spans="1:12" x14ac:dyDescent="0.25">
      <c r="A31" s="43"/>
      <c r="B31" s="23"/>
      <c r="C31" s="27"/>
      <c r="D31" s="28"/>
      <c r="E31" s="23"/>
      <c r="F31" s="46"/>
      <c r="G31" s="33"/>
      <c r="H31" s="33"/>
      <c r="I31" s="28"/>
      <c r="J31" s="28"/>
      <c r="K31" s="28"/>
      <c r="L31" s="28"/>
    </row>
    <row r="32" spans="1:12" x14ac:dyDescent="0.25">
      <c r="A32" s="43"/>
      <c r="B32" s="23"/>
      <c r="C32" s="27"/>
      <c r="D32" s="28"/>
      <c r="E32" s="23"/>
      <c r="F32" s="46"/>
      <c r="G32" s="33"/>
      <c r="H32" s="33"/>
      <c r="I32" s="28"/>
      <c r="J32" s="28"/>
      <c r="K32" s="28"/>
      <c r="L32" s="28"/>
    </row>
    <row r="33" spans="1:12" x14ac:dyDescent="0.25">
      <c r="A33" s="43"/>
      <c r="B33" s="23"/>
      <c r="C33" s="27"/>
      <c r="D33" s="28"/>
      <c r="E33" s="23"/>
      <c r="F33" s="46"/>
      <c r="G33" s="33"/>
      <c r="H33" s="33"/>
      <c r="I33" s="28"/>
      <c r="J33" s="28"/>
      <c r="K33" s="28"/>
      <c r="L33" s="28"/>
    </row>
    <row r="34" spans="1:12" x14ac:dyDescent="0.25">
      <c r="A34" s="43"/>
      <c r="B34" s="23"/>
      <c r="C34" s="27"/>
      <c r="D34" s="28"/>
      <c r="E34" s="23"/>
      <c r="F34" s="46"/>
      <c r="G34" s="33"/>
      <c r="H34" s="33"/>
      <c r="I34" s="28"/>
      <c r="J34" s="28"/>
      <c r="K34" s="28"/>
      <c r="L34" s="28"/>
    </row>
    <row r="35" spans="1:12" x14ac:dyDescent="0.25">
      <c r="A35" s="43"/>
      <c r="B35" s="23"/>
      <c r="C35" s="27"/>
      <c r="D35" s="28"/>
      <c r="E35" s="23"/>
      <c r="F35" s="46"/>
      <c r="G35" s="33"/>
      <c r="H35" s="33"/>
      <c r="I35" s="28"/>
      <c r="J35" s="28"/>
      <c r="K35" s="28"/>
      <c r="L35" s="28"/>
    </row>
    <row r="36" spans="1:12" x14ac:dyDescent="0.25">
      <c r="A36" s="43"/>
      <c r="B36" s="23"/>
      <c r="C36" s="27"/>
      <c r="D36" s="28"/>
      <c r="E36" s="23"/>
      <c r="F36" s="46"/>
      <c r="G36" s="33"/>
      <c r="H36" s="33"/>
      <c r="I36" s="28"/>
      <c r="J36" s="28"/>
      <c r="K36" s="28"/>
      <c r="L36" s="28"/>
    </row>
    <row r="37" spans="1:12" x14ac:dyDescent="0.25">
      <c r="A37" s="43"/>
      <c r="B37" s="23"/>
      <c r="C37" s="27"/>
      <c r="D37" s="28"/>
      <c r="E37" s="23"/>
      <c r="F37" s="46"/>
      <c r="G37" s="33"/>
      <c r="H37" s="33"/>
      <c r="I37" s="28"/>
      <c r="J37" s="28"/>
      <c r="K37" s="28"/>
      <c r="L37" s="28"/>
    </row>
    <row r="38" spans="1:12" x14ac:dyDescent="0.25">
      <c r="A38" s="43"/>
      <c r="B38" s="23"/>
      <c r="C38" s="27"/>
      <c r="D38" s="28"/>
      <c r="E38" s="23"/>
      <c r="F38" s="46"/>
      <c r="G38" s="33"/>
      <c r="H38" s="33"/>
      <c r="I38" s="28"/>
      <c r="J38" s="28"/>
      <c r="K38" s="28"/>
      <c r="L38" s="28"/>
    </row>
    <row r="39" spans="1:12" x14ac:dyDescent="0.25">
      <c r="A39" s="43"/>
      <c r="B39" s="23"/>
      <c r="C39" s="27"/>
      <c r="D39" s="28"/>
      <c r="E39" s="23"/>
      <c r="F39" s="46"/>
      <c r="G39" s="33"/>
      <c r="H39" s="33"/>
      <c r="I39" s="28"/>
      <c r="J39" s="28"/>
      <c r="K39" s="28"/>
      <c r="L39" s="28"/>
    </row>
    <row r="40" spans="1:12" x14ac:dyDescent="0.25">
      <c r="A40" s="43"/>
      <c r="B40" s="23"/>
      <c r="C40" s="27"/>
      <c r="D40" s="28"/>
      <c r="E40" s="23"/>
      <c r="F40" s="46"/>
      <c r="G40" s="33"/>
      <c r="H40" s="33"/>
      <c r="I40" s="28"/>
      <c r="J40" s="28"/>
      <c r="K40" s="28"/>
      <c r="L40" s="28"/>
    </row>
    <row r="41" spans="1:12" x14ac:dyDescent="0.25">
      <c r="A41" s="43"/>
      <c r="B41" s="23"/>
      <c r="C41" s="27"/>
      <c r="D41" s="28"/>
      <c r="E41" s="23"/>
      <c r="F41" s="46"/>
      <c r="G41" s="33"/>
      <c r="H41" s="33"/>
      <c r="I41" s="28"/>
      <c r="J41" s="28"/>
      <c r="K41" s="28"/>
      <c r="L41" s="28"/>
    </row>
    <row r="42" spans="1:12" x14ac:dyDescent="0.25">
      <c r="A42" s="43"/>
      <c r="B42" s="23"/>
      <c r="C42" s="27"/>
      <c r="D42" s="28"/>
      <c r="E42" s="23"/>
      <c r="F42" s="46"/>
      <c r="G42" s="33"/>
      <c r="H42" s="33"/>
      <c r="I42" s="28"/>
      <c r="J42" s="28"/>
      <c r="K42" s="28"/>
      <c r="L42" s="28"/>
    </row>
    <row r="43" spans="1:12" x14ac:dyDescent="0.25">
      <c r="A43" s="43"/>
      <c r="B43" s="23"/>
      <c r="C43" s="27"/>
      <c r="D43" s="28"/>
      <c r="E43" s="23"/>
      <c r="F43" s="46"/>
      <c r="G43" s="33"/>
      <c r="H43" s="33"/>
      <c r="I43" s="28"/>
      <c r="J43" s="28"/>
      <c r="K43" s="28"/>
      <c r="L43" s="28"/>
    </row>
    <row r="44" spans="1:12" x14ac:dyDescent="0.25">
      <c r="A44" s="43"/>
      <c r="B44" s="23"/>
      <c r="C44" s="27"/>
      <c r="D44" s="28"/>
      <c r="E44" s="23"/>
      <c r="F44" s="46"/>
      <c r="G44" s="33"/>
      <c r="H44" s="33"/>
      <c r="I44" s="28"/>
      <c r="J44" s="28"/>
      <c r="K44" s="28"/>
      <c r="L44" s="28"/>
    </row>
    <row r="45" spans="1:12" x14ac:dyDescent="0.25">
      <c r="A45" s="43"/>
      <c r="B45" s="23"/>
      <c r="C45" s="27"/>
      <c r="D45" s="28"/>
      <c r="E45" s="23"/>
      <c r="F45" s="46"/>
      <c r="G45" s="33"/>
      <c r="H45" s="33"/>
      <c r="I45" s="28"/>
      <c r="J45" s="28"/>
      <c r="K45" s="28"/>
      <c r="L45" s="28"/>
    </row>
    <row r="46" spans="1:12" x14ac:dyDescent="0.25">
      <c r="A46" s="43"/>
      <c r="B46" s="23"/>
      <c r="C46" s="27"/>
      <c r="D46" s="28"/>
      <c r="E46" s="23"/>
      <c r="F46" s="46"/>
      <c r="G46" s="33"/>
      <c r="H46" s="33"/>
      <c r="I46" s="28"/>
      <c r="J46" s="28"/>
      <c r="K46" s="28"/>
      <c r="L46" s="28"/>
    </row>
    <row r="47" spans="1:12" x14ac:dyDescent="0.25">
      <c r="A47" s="43"/>
      <c r="B47" s="23"/>
      <c r="C47" s="27"/>
      <c r="D47" s="28"/>
      <c r="E47" s="23"/>
      <c r="F47" s="46"/>
      <c r="G47" s="33"/>
      <c r="H47" s="33"/>
      <c r="I47" s="28"/>
      <c r="J47" s="28"/>
      <c r="K47" s="28"/>
      <c r="L47" s="28"/>
    </row>
    <row r="48" spans="1:12" x14ac:dyDescent="0.25">
      <c r="A48" s="43"/>
      <c r="B48" s="23"/>
      <c r="C48" s="27"/>
      <c r="D48" s="28"/>
      <c r="E48" s="23"/>
      <c r="F48" s="46"/>
      <c r="G48" s="33"/>
      <c r="H48" s="33"/>
      <c r="I48" s="28"/>
      <c r="J48" s="28"/>
      <c r="K48" s="28"/>
      <c r="L48" s="28"/>
    </row>
    <row r="49" spans="1:12" x14ac:dyDescent="0.25">
      <c r="A49" s="43"/>
      <c r="B49" s="23"/>
      <c r="C49" s="27"/>
      <c r="D49" s="28"/>
      <c r="E49" s="23"/>
      <c r="F49" s="46"/>
      <c r="G49" s="33"/>
      <c r="H49" s="33"/>
      <c r="I49" s="28"/>
      <c r="J49" s="28"/>
      <c r="K49" s="28"/>
      <c r="L49" s="28"/>
    </row>
    <row r="50" spans="1:12" x14ac:dyDescent="0.25">
      <c r="A50" s="43"/>
      <c r="B50" s="23"/>
      <c r="C50" s="27"/>
      <c r="D50" s="28"/>
      <c r="E50" s="23"/>
      <c r="F50" s="46"/>
      <c r="G50" s="33"/>
      <c r="H50" s="33"/>
      <c r="I50" s="28"/>
      <c r="J50" s="28"/>
      <c r="K50" s="28"/>
      <c r="L50" s="28"/>
    </row>
    <row r="51" spans="1:12" x14ac:dyDescent="0.25">
      <c r="A51" s="43"/>
      <c r="B51" s="23"/>
      <c r="C51" s="27"/>
      <c r="D51" s="28"/>
      <c r="E51" s="23"/>
      <c r="F51" s="46"/>
      <c r="G51" s="33"/>
      <c r="H51" s="33"/>
      <c r="I51" s="28"/>
      <c r="J51" s="28"/>
      <c r="K51" s="28"/>
      <c r="L51" s="28"/>
    </row>
    <row r="52" spans="1:12" x14ac:dyDescent="0.25">
      <c r="A52" s="43"/>
      <c r="B52" s="23"/>
      <c r="C52" s="27"/>
      <c r="D52" s="28"/>
      <c r="E52" s="23"/>
      <c r="F52" s="46"/>
      <c r="G52" s="33"/>
      <c r="H52" s="33"/>
      <c r="I52" s="28"/>
      <c r="J52" s="28"/>
      <c r="K52" s="28"/>
      <c r="L52" s="28"/>
    </row>
  </sheetData>
  <autoFilter ref="A15:F39"/>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6:H19">
    <cfRule type="cellIs" dxfId="13" priority="14" operator="equal">
      <formula>NEI</formula>
    </cfRule>
  </conditionalFormatting>
  <conditionalFormatting sqref="G16:H19">
    <cfRule type="cellIs" dxfId="12" priority="13" operator="equal">
      <formula>"JA"</formula>
    </cfRule>
  </conditionalFormatting>
  <conditionalFormatting sqref="G16:H19">
    <cfRule type="cellIs" dxfId="11" priority="10" operator="equal">
      <formula>"NEI"</formula>
    </cfRule>
    <cfRule type="cellIs" dxfId="10" priority="11" operator="equal">
      <formula>"JA"</formula>
    </cfRule>
    <cfRule type="cellIs" dxfId="9" priority="12" operator="equal">
      <formula>"JA"</formula>
    </cfRule>
  </conditionalFormatting>
  <conditionalFormatting sqref="D16:D38">
    <cfRule type="cellIs" dxfId="8" priority="8" operator="equal">
      <formula>"nei"</formula>
    </cfRule>
    <cfRule type="cellIs" dxfId="7" priority="9" operator="equal">
      <formula>"ja"</formula>
    </cfRule>
  </conditionalFormatting>
  <conditionalFormatting sqref="F39:F52">
    <cfRule type="cellIs" dxfId="6" priority="7" operator="equal">
      <formula>NEI</formula>
    </cfRule>
  </conditionalFormatting>
  <conditionalFormatting sqref="F39:F52">
    <cfRule type="cellIs" dxfId="5" priority="6" operator="equal">
      <formula>"JA"</formula>
    </cfRule>
  </conditionalFormatting>
  <conditionalFormatting sqref="F39:F52">
    <cfRule type="cellIs" dxfId="4" priority="3" operator="equal">
      <formula>"NEI"</formula>
    </cfRule>
    <cfRule type="cellIs" dxfId="3" priority="4" operator="equal">
      <formula>"JA"</formula>
    </cfRule>
    <cfRule type="cellIs" dxfId="2" priority="5" operator="equal">
      <formula>"JA"</formula>
    </cfRule>
  </conditionalFormatting>
  <conditionalFormatting sqref="D39:D52">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9"/>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8" width="5.42578125" bestFit="1" customWidth="1"/>
  </cols>
  <sheetData>
    <row r="1" spans="1:8" ht="23.25" x14ac:dyDescent="0.35">
      <c r="A1" s="93" t="s">
        <v>105</v>
      </c>
      <c r="B1" s="94"/>
      <c r="C1" s="94"/>
      <c r="D1" s="95"/>
      <c r="E1" s="96" t="s">
        <v>96</v>
      </c>
      <c r="F1" s="97"/>
      <c r="G1" s="97"/>
      <c r="H1" s="97"/>
    </row>
    <row r="2" spans="1:8" ht="23.25" x14ac:dyDescent="0.35">
      <c r="A2" s="60" t="s">
        <v>97</v>
      </c>
      <c r="B2" s="60" t="s">
        <v>98</v>
      </c>
      <c r="C2" s="60" t="s">
        <v>99</v>
      </c>
      <c r="D2" s="60" t="s">
        <v>100</v>
      </c>
      <c r="E2" s="61" t="s">
        <v>22</v>
      </c>
      <c r="F2" s="61" t="s">
        <v>30</v>
      </c>
      <c r="G2" s="61" t="s">
        <v>23</v>
      </c>
      <c r="H2" s="61" t="s">
        <v>31</v>
      </c>
    </row>
    <row r="3" spans="1:8" ht="31.5" x14ac:dyDescent="0.25">
      <c r="A3" s="51" t="s">
        <v>106</v>
      </c>
      <c r="B3" s="7" t="s">
        <v>101</v>
      </c>
      <c r="C3" s="7"/>
      <c r="D3" s="7"/>
      <c r="E3" s="7" t="s">
        <v>102</v>
      </c>
      <c r="F3" s="62"/>
      <c r="G3" s="62"/>
      <c r="H3" s="62"/>
    </row>
    <row r="4" spans="1:8" ht="46.9" customHeight="1" x14ac:dyDescent="0.25">
      <c r="A4" s="51" t="s">
        <v>107</v>
      </c>
      <c r="B4" s="63" t="s">
        <v>101</v>
      </c>
      <c r="C4" s="7"/>
      <c r="D4" s="7"/>
      <c r="E4" s="7" t="s">
        <v>103</v>
      </c>
      <c r="F4" s="7" t="s">
        <v>102</v>
      </c>
      <c r="G4" s="62"/>
      <c r="H4" s="7" t="s">
        <v>103</v>
      </c>
    </row>
    <row r="5" spans="1:8" ht="48.6" customHeight="1" x14ac:dyDescent="0.25">
      <c r="A5" s="51" t="s">
        <v>108</v>
      </c>
      <c r="B5" s="63" t="s">
        <v>101</v>
      </c>
      <c r="C5" s="7"/>
      <c r="D5" s="7"/>
      <c r="E5" s="7" t="s">
        <v>103</v>
      </c>
      <c r="F5" s="7" t="s">
        <v>103</v>
      </c>
      <c r="G5" s="7" t="s">
        <v>102</v>
      </c>
      <c r="H5" s="7" t="s">
        <v>103</v>
      </c>
    </row>
    <row r="6" spans="1:8" ht="48" customHeight="1" x14ac:dyDescent="0.25">
      <c r="A6" s="51" t="s">
        <v>109</v>
      </c>
      <c r="B6" s="63" t="s">
        <v>104</v>
      </c>
      <c r="C6" s="7"/>
      <c r="D6" s="7"/>
      <c r="E6" s="7" t="s">
        <v>103</v>
      </c>
      <c r="F6" s="7" t="s">
        <v>103</v>
      </c>
      <c r="G6" s="7" t="s">
        <v>103</v>
      </c>
      <c r="H6" s="62"/>
    </row>
    <row r="69" ht="44.25" customHeight="1" x14ac:dyDescent="0.25"/>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5.140625" customWidth="1"/>
  </cols>
  <sheetData>
    <row r="1" spans="1:8" ht="28.5" x14ac:dyDescent="0.45">
      <c r="A1" s="8" t="s">
        <v>42</v>
      </c>
      <c r="B1" s="4"/>
      <c r="D1" s="56" t="s">
        <v>74</v>
      </c>
      <c r="E1" s="57" t="s">
        <v>75</v>
      </c>
    </row>
    <row r="2" spans="1:8" ht="21" x14ac:dyDescent="0.35">
      <c r="A2" s="31" t="s">
        <v>10</v>
      </c>
      <c r="B2" s="31" t="s">
        <v>5</v>
      </c>
      <c r="C2" s="3"/>
      <c r="D2" s="2" t="s">
        <v>18</v>
      </c>
      <c r="E2" s="2" t="s">
        <v>76</v>
      </c>
    </row>
    <row r="3" spans="1:8" ht="15.75" x14ac:dyDescent="0.25">
      <c r="A3" s="30" t="s">
        <v>43</v>
      </c>
      <c r="B3" s="14" t="s">
        <v>77</v>
      </c>
      <c r="C3" s="3"/>
      <c r="D3" s="2" t="s">
        <v>21</v>
      </c>
      <c r="E3" s="2" t="s">
        <v>78</v>
      </c>
    </row>
    <row r="4" spans="1:8" ht="15.75" x14ac:dyDescent="0.25">
      <c r="A4" s="30" t="s">
        <v>43</v>
      </c>
      <c r="B4" s="30" t="s">
        <v>79</v>
      </c>
      <c r="C4" s="3"/>
      <c r="D4" s="58"/>
      <c r="E4" s="2" t="s">
        <v>80</v>
      </c>
    </row>
    <row r="5" spans="1:8" ht="15.75" x14ac:dyDescent="0.25">
      <c r="A5" s="30" t="s">
        <v>43</v>
      </c>
      <c r="B5" s="30" t="s">
        <v>94</v>
      </c>
      <c r="C5" s="3"/>
      <c r="D5" s="58"/>
      <c r="E5" s="2" t="s">
        <v>81</v>
      </c>
      <c r="F5" s="32"/>
    </row>
    <row r="6" spans="1:8" ht="31.5" x14ac:dyDescent="0.25">
      <c r="A6" s="30" t="s">
        <v>43</v>
      </c>
      <c r="B6" s="51" t="s">
        <v>90</v>
      </c>
      <c r="C6" s="3"/>
      <c r="E6" s="2" t="s">
        <v>82</v>
      </c>
      <c r="F6" s="32"/>
      <c r="G6" s="32"/>
      <c r="H6" s="32"/>
    </row>
    <row r="7" spans="1:8" x14ac:dyDescent="0.25">
      <c r="C7" s="3"/>
      <c r="G7" s="32"/>
      <c r="H7" s="32"/>
    </row>
    <row r="8" spans="1:8" x14ac:dyDescent="0.25">
      <c r="C8" s="3"/>
      <c r="E8" s="32"/>
      <c r="F8" s="32"/>
      <c r="G8" s="32"/>
      <c r="H8" s="32"/>
    </row>
    <row r="9" spans="1:8" x14ac:dyDescent="0.25">
      <c r="C9" s="3"/>
      <c r="E9" s="32"/>
      <c r="F9" s="32"/>
      <c r="G9" s="32"/>
      <c r="H9" s="32"/>
    </row>
    <row r="10" spans="1:8" x14ac:dyDescent="0.25">
      <c r="C10" s="3"/>
      <c r="E10" s="32"/>
      <c r="F10" s="32"/>
      <c r="G10" s="32"/>
      <c r="H10" s="32"/>
    </row>
    <row r="11" spans="1:8" x14ac:dyDescent="0.25">
      <c r="C11" s="3"/>
      <c r="E11" s="32"/>
      <c r="F11" s="32"/>
      <c r="G11" s="32"/>
      <c r="H11" s="32"/>
    </row>
    <row r="12" spans="1:8" x14ac:dyDescent="0.25">
      <c r="C12" s="3"/>
      <c r="E12" s="32"/>
      <c r="F12" s="32"/>
      <c r="G12" s="32"/>
      <c r="H12" s="32"/>
    </row>
    <row r="13" spans="1:8" ht="18.75" x14ac:dyDescent="0.3">
      <c r="A13" s="11"/>
      <c r="B13" s="12"/>
      <c r="C13" s="3"/>
      <c r="E13" s="32"/>
      <c r="F13" s="32"/>
      <c r="G13" s="32"/>
      <c r="H13" s="32"/>
    </row>
    <row r="14" spans="1:8" x14ac:dyDescent="0.25">
      <c r="A14" s="13"/>
      <c r="B14" s="10"/>
      <c r="E14" s="32"/>
      <c r="F14" s="32"/>
      <c r="G14" s="32"/>
      <c r="H14" s="32"/>
    </row>
    <row r="15" spans="1:8" x14ac:dyDescent="0.25">
      <c r="E15" s="32"/>
      <c r="F15" s="32"/>
      <c r="G15" s="32"/>
      <c r="H15" s="32"/>
    </row>
    <row r="16" spans="1:8" x14ac:dyDescent="0.25">
      <c r="E16" s="32"/>
      <c r="F16" s="32"/>
      <c r="G16" s="32"/>
      <c r="H16" s="32"/>
    </row>
    <row r="17" spans="1:8" ht="28.5" x14ac:dyDescent="0.45">
      <c r="A17" s="6" t="s">
        <v>11</v>
      </c>
      <c r="B17" s="5"/>
      <c r="E17" s="32"/>
      <c r="F17" s="32"/>
      <c r="G17" s="32"/>
      <c r="H17" s="32"/>
    </row>
    <row r="18" spans="1:8" x14ac:dyDescent="0.25">
      <c r="A18" s="7" t="s">
        <v>19</v>
      </c>
      <c r="B18" s="7" t="s">
        <v>92</v>
      </c>
      <c r="E18" s="32"/>
      <c r="F18" s="32"/>
      <c r="G18" s="32"/>
      <c r="H18" s="32"/>
    </row>
    <row r="19" spans="1:8" x14ac:dyDescent="0.25">
      <c r="A19" s="2" t="s">
        <v>20</v>
      </c>
      <c r="B19" s="2" t="s">
        <v>93</v>
      </c>
      <c r="E19" s="32"/>
      <c r="F19" s="32"/>
      <c r="G19" s="32"/>
      <c r="H19" s="32"/>
    </row>
    <row r="26" spans="1:8" ht="28.5" x14ac:dyDescent="0.45">
      <c r="A26" s="54" t="s">
        <v>12</v>
      </c>
      <c r="B26" s="32"/>
    </row>
    <row r="27" spans="1:8" ht="42" x14ac:dyDescent="0.35">
      <c r="A27" s="59" t="s">
        <v>86</v>
      </c>
    </row>
    <row r="28" spans="1:8" ht="31.5" x14ac:dyDescent="0.25">
      <c r="A28" s="51" t="s">
        <v>87</v>
      </c>
    </row>
    <row r="29" spans="1:8" ht="45" x14ac:dyDescent="0.25">
      <c r="A29" s="14" t="s">
        <v>88</v>
      </c>
    </row>
    <row r="30" spans="1:8" ht="45" x14ac:dyDescent="0.25">
      <c r="A30" s="14" t="s">
        <v>89</v>
      </c>
    </row>
    <row r="31" spans="1:8" ht="45" x14ac:dyDescent="0.25">
      <c r="A31" s="14" t="s">
        <v>91</v>
      </c>
    </row>
    <row r="32" spans="1:8" x14ac:dyDescent="0.25">
      <c r="B32" s="12"/>
    </row>
    <row r="33" spans="1:2" x14ac:dyDescent="0.25">
      <c r="B33" s="12"/>
    </row>
    <row r="34" spans="1:2" x14ac:dyDescent="0.25">
      <c r="B34" s="12"/>
    </row>
    <row r="35" spans="1:2" ht="15.75" x14ac:dyDescent="0.25">
      <c r="A35" s="53"/>
      <c r="B35" s="12"/>
    </row>
    <row r="36" spans="1:2" ht="18.75" x14ac:dyDescent="0.3">
      <c r="A36" s="52"/>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del_3</vt:lpstr>
      <vt:lpstr>del2_topp</vt:lpstr>
      <vt:lpstr>har_ikkje_automatisk</vt:lpstr>
      <vt:lpstr>har_ikkje_digitale_skjema</vt:lpstr>
      <vt:lpstr>har_ikkje_kjente</vt:lpstr>
      <vt:lpstr>ikkje_tekst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2017-09-12T14:45:04Z</dcterms:modified>
</cp:coreProperties>
</file>