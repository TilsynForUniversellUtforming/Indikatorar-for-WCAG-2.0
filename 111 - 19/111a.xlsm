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111 - 19\"/>
    </mc:Choice>
  </mc:AlternateContent>
  <bookViews>
    <workbookView xWindow="0" yWindow="0" windowWidth="15090" windowHeight="6855" activeTab="1"/>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Data!$A$14:$AI$14</definedName>
    <definedName name="data_ant_live_klipp">Data!$D$6</definedName>
    <definedName name="data_ant_mediaalt">Data!$D$7</definedName>
    <definedName name="element">Registering!$D$14</definedName>
    <definedName name="har_ikke_lyd">Data!$D$5</definedName>
    <definedName name="kommentar">Registering!$D$46</definedName>
    <definedName name="nettleser">Registering!$D$6</definedName>
    <definedName name="side">Registering!$D$11</definedName>
    <definedName name="slutt_data">Registering!$D$47</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Data!$A$14:$F$21</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l="1"/>
  <c r="D11" i="2"/>
  <c r="B2" i="2" l="1"/>
  <c r="A1" i="2"/>
  <c r="B3" i="3" l="1"/>
</calcChain>
</file>

<file path=xl/sharedStrings.xml><?xml version="1.0" encoding="utf-8"?>
<sst xmlns="http://schemas.openxmlformats.org/spreadsheetml/2006/main" count="435" uniqueCount="186">
  <si>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</si>
  <si>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</si>
  <si>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</si>
  <si>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</si>
  <si>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</si>
  <si>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</si>
  <si>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</si>
  <si>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</si>
  <si>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</si>
  <si>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</si>
  <si>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</si>
  <si>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</si>
  <si>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</si>
  <si>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</si>
  <si>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</si>
  <si>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</si>
  <si>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</si>
  <si>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</si>
  <si>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</si>
  <si>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</si>
  <si>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</si>
  <si>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</si>
  <si>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</si>
  <si>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</si>
  <si>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</si>
  <si>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</si>
  <si>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</si>
  <si>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</si>
  <si>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</si>
  <si>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</si>
  <si>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</si>
  <si>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</si>
  <si>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</si>
  <si>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</si>
  <si>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</si>
  <si>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</si>
  <si>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</si>
  <si>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</si>
  <si>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</si>
  <si>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</si>
  <si>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</si>
  <si>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</si>
  <si>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</si>
  <si>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</si>
  <si>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</si>
  <si>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</si>
  <si>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</si>
  <si>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</si>
  <si>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</si>
  <si>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</si>
  <si>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</si>
  <si>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</si>
  <si>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</si>
  <si>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</si>
  <si>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</si>
  <si>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</si>
  <si>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</si>
  <si>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</si>
  <si>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</si>
  <si>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</si>
  <si>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</si>
  <si>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</si>
  <si>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</si>
  <si>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</si>
  <si>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Element</t>
  </si>
  <si>
    <t>nei</t>
  </si>
  <si>
    <t>Registrering</t>
  </si>
  <si>
    <t>Utfall</t>
  </si>
  <si>
    <t>Samsvar</t>
  </si>
  <si>
    <t>brudd</t>
  </si>
  <si>
    <t>ja</t>
  </si>
  <si>
    <t>Steg</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</si>
  <si>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</si>
  <si>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</si>
  <si>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Beskriv biletet</t>
  </si>
  <si>
    <t>Du kan for eksempel beskrive motiv, plassering på sida, element som er i nærleiken.</t>
  </si>
  <si>
    <t>Bilete som er pynt/dekor/bakgrunn/formattering</t>
  </si>
  <si>
    <t>Eksempel på slike bilete er usynlige bilete, gjennomsiktige bilete, pyntebilder og bord.</t>
  </si>
  <si>
    <t>Sjå i koden om alt-attributtet har innhald.
Eit tomt alt-attributt er koda på formen alt="" eller berre alt.</t>
  </si>
  <si>
    <t>Du kan nytte kodeverktøyet i nettlesaren til å sjekke dette.</t>
  </si>
  <si>
    <t>Du kan nytte kodeverktøyet i nettlesaren til å sjekke dette.
Attributta overstyrer eventuelt alt-attributt eller title-attributt, sjølv om attributta er tomme.</t>
  </si>
  <si>
    <t>Sjå i koden om title-attributtet har innhald.
Eit tomt title-attributt er koda på formen title="" eller berre title.</t>
  </si>
  <si>
    <t>Du kan nytte kodeverktøyet i nettlesaren til å sjekke dette.
Attributtet overstyrer eventuelt alt-attributt eller title-attributt.
MERK: Du skal ikkje vurdere kvaliteten på teksten. 
Sjå i koden og finn det aktuelle &lt;img&gt;-elementet.</t>
  </si>
  <si>
    <t>3.17</t>
  </si>
  <si>
    <r>
      <rPr>
        <b/>
        <sz val="11"/>
        <color theme="1"/>
        <rFont val="Calibri"/>
        <family val="2"/>
        <scheme val="minor"/>
      </rPr>
      <t>Test:</t>
    </r>
    <r>
      <rPr>
        <sz val="11"/>
        <color theme="1"/>
        <rFont val="Calibri"/>
        <family val="2"/>
        <scheme val="minor"/>
      </rPr>
      <t xml:space="preserve">
Bilete som er ein del av ein test eller øving er bilete kor innhaldet vil bli ugyldig dersom det blir presentert som tekst. Hensikten med testen vil forvinne dersom svaret blir avslørt av tekstalternativet.
</t>
    </r>
    <r>
      <rPr>
        <b/>
        <sz val="11"/>
        <color theme="1"/>
        <rFont val="Calibri"/>
        <family val="2"/>
        <scheme val="minor"/>
      </rPr>
      <t>Sanseoppleving:</t>
    </r>
    <r>
      <rPr>
        <sz val="11"/>
        <color theme="1"/>
        <rFont val="Calibri"/>
        <family val="2"/>
        <scheme val="minor"/>
      </rPr>
      <t xml:space="preserve">
Bilete som skal gi ei sanseoppleving er bilete som ikkje berre er til pynt, men som ikkje har som hovudformål å formidle informasjon. Eit maleri er eksempel på ei sanseoppleving.</t>
    </r>
  </si>
  <si>
    <t>3.18</t>
  </si>
  <si>
    <t>3.19</t>
  </si>
  <si>
    <t>3.20</t>
  </si>
  <si>
    <t>3.21</t>
  </si>
  <si>
    <t>3.22</t>
  </si>
  <si>
    <t>3.23</t>
  </si>
  <si>
    <t>3.24</t>
  </si>
  <si>
    <t>3.25</t>
  </si>
  <si>
    <t>3.26</t>
  </si>
  <si>
    <t>3.27</t>
  </si>
  <si>
    <t>3.28</t>
  </si>
  <si>
    <t>3.29</t>
  </si>
  <si>
    <t>Gir innhaldet i attributtet den same informasjonen som er formidla av biletet?</t>
  </si>
  <si>
    <t>Eksempel på komplekse bilete er grafar, diagram eller andre bilete som inneheld mykje informasjon.</t>
  </si>
  <si>
    <t>Det korte tekstalternativet på biletet skal vise til kor brukaren kan finne et utfyllande tekstalternativ med meir informasjon.</t>
  </si>
  <si>
    <t>For å vere i direkte tilknytning, skal teksten ligge anten rett før eller rett etter biletet i koden.
Lenka kan peike til tekst som ligg på ei anna nettside, eller på same side som biletet.</t>
  </si>
  <si>
    <t>Kopier URL som ligg i longdesc og opne i nettlesaren.</t>
  </si>
  <si>
    <t>Gir innhaldet i den utfyllande teksten ei skildring av innhaldet i biletet?</t>
  </si>
  <si>
    <t>Kort tekstalternativ til meiningberande bilete</t>
  </si>
  <si>
    <t>Gjer ei skjønnsmessig vurdering av om informasjonen i attributtet (dvs. tekstalternativet) identifiserer innhaldet i biletet. 
Viss aria-labelledby visar til dupliserte id-ar, skal du vurdere innhaldet til id-en som står først i koden.
Merk: Filnamn, kor tekstalternativet inneheld eit filetternamn som for eksempel .jpg eller .png, er alltid feil.</t>
  </si>
  <si>
    <t>Gjer ei skjønnsmessig vurdering av om informasjonen i attributtet (dvs. tekstalternativet) gir tilstrekkeleg informasjon.
Eit godt tekstalternativ gjer det mogleg å erstatte biletet med tekstalternativet uten å miste funksjonalitet eller informasjon.  
Viss aria-labelledby visar til dupliserte id-ar, skal du vurdere innhaldet til id-en som står først i koden.
Merk: Filnamn, kor tekstalternativet inneheld eit filetternamn som for eksempel .jpg eller .png, er alltid feil.</t>
  </si>
  <si>
    <r>
      <t xml:space="preserve">Er biletet koda som &lt;img&gt;?
</t>
    </r>
    <r>
      <rPr>
        <b/>
        <sz val="11"/>
        <color rgb="FFFF0000"/>
        <rFont val="Calibri"/>
        <family val="2"/>
        <scheme val="minor"/>
      </rPr>
      <t>Viss Nei, gå til steg 3.16.</t>
    </r>
  </si>
  <si>
    <t>Sjå i koden for å sjekke dette.</t>
  </si>
  <si>
    <t>3.30</t>
  </si>
  <si>
    <t>1.1.1 a Bilete har tekstalternativ</t>
  </si>
  <si>
    <t>Du skal teste alle bilete som ikkje er lenka.
Bilete kan vere for eksempel 
- illustrasjonar
- pyntebilete og dekor
- grafar og diagram
- ikon og symbol
Bileta kan vere koda inni andre HTML-element, som for eksempel &lt;figure&gt;.</t>
  </si>
  <si>
    <t>Tekstalternativ til komplekse bilete</t>
  </si>
  <si>
    <t>Tekstalternativet er synlig for alle brukere og skal beskrive innhaldet i biletet.
For å vere i direkte tilknytning, skal teksten ligge anten rett før eller rett etter biletet i koden.
Merk: Du skal ikkje ta stilling til kvaliteten på teksten før punkt 3.30</t>
  </si>
  <si>
    <t>Merk at vi her kun krever ein identifikasjon i det korte tekstalternativet til komplekse bilete.
Gjer ei skjønnsmessig vurdering av om informasjonen i attributtet (dvs. tekstalternativet) identifiserer innhaldet i biletet. 
Viss aria-labelledby visar til dupliserte id-ar, skal du vurdere innhaldet til id-en som står først i koden.
Filnamn, kor tekstalternativet inneheld eit filetternamn som for eksempel .jpg eller .png, er alltid feil.</t>
  </si>
  <si>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</si>
  <si>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Gjer ei skjønnsmessig vurdering av om informasjonen i det utfyllande tekstalternativet gir tilstrekkeleg informasjon.
Eit godt tekstalternativ gjer det mogleg å erstatte biletet med tekstalternativet uten å miste funksjonalitet eller informasjon.</t>
  </si>
  <si>
    <r>
      <t xml:space="preserve">Krav til samsvar: </t>
    </r>
    <r>
      <rPr>
        <sz val="11"/>
        <color theme="1"/>
        <rFont val="Calibri"/>
        <family val="2"/>
        <scheme val="minor"/>
      </rPr>
      <t xml:space="preserve">
For bilete i HTML er ein av følgjande er oppfylt:
- </t>
    </r>
    <r>
      <rPr>
        <b/>
        <sz val="11"/>
        <color theme="1"/>
        <rFont val="Calibri"/>
        <family val="2"/>
        <scheme val="minor"/>
      </rPr>
      <t>Bilete som er pynt</t>
    </r>
    <r>
      <rPr>
        <sz val="11"/>
        <color theme="1"/>
        <rFont val="Calibri"/>
        <family val="2"/>
        <scheme val="minor"/>
      </rPr>
      <t xml:space="preserve"> er koda på en slik måte at dei ikkje er til støy. 
- </t>
    </r>
    <r>
      <rPr>
        <b/>
        <sz val="11"/>
        <color theme="1"/>
        <rFont val="Calibri"/>
        <family val="2"/>
        <scheme val="minor"/>
      </rPr>
      <t>Bilete som er ei sanseoppleving eller ein test</t>
    </r>
    <r>
      <rPr>
        <sz val="11"/>
        <color theme="1"/>
        <rFont val="Calibri"/>
        <family val="2"/>
        <scheme val="minor"/>
      </rPr>
      <t xml:space="preserve"> har eit kort tekstalternativ som gir ein beskrivande identifikasjon.
- </t>
    </r>
    <r>
      <rPr>
        <b/>
        <sz val="11"/>
        <color theme="1"/>
        <rFont val="Calibri"/>
        <family val="2"/>
        <scheme val="minor"/>
      </rPr>
      <t xml:space="preserve">Bilete som er meiningsberande </t>
    </r>
    <r>
      <rPr>
        <sz val="11"/>
        <color theme="1"/>
        <rFont val="Calibri"/>
        <family val="2"/>
        <scheme val="minor"/>
      </rPr>
      <t xml:space="preserve">har eit kort tekstalternativ som gjengir same informasjon som biletet.
- </t>
    </r>
    <r>
      <rPr>
        <b/>
        <sz val="11"/>
        <color theme="1"/>
        <rFont val="Calibri"/>
        <family val="2"/>
        <scheme val="minor"/>
      </rPr>
      <t>Bilete som er komplekse</t>
    </r>
    <r>
      <rPr>
        <sz val="11"/>
        <color theme="1"/>
        <rFont val="Calibri"/>
        <family val="2"/>
        <scheme val="minor"/>
      </rPr>
      <t xml:space="preserve"> har både eit kort tekstalternativ og eit utfyllande tekstalternativ.</t>
    </r>
  </si>
  <si>
    <t>Skriv inn url til nettsida</t>
  </si>
  <si>
    <t>2.2</t>
  </si>
  <si>
    <r>
      <t xml:space="preserve">Er tekstalternativet koda som tekst?
</t>
    </r>
    <r>
      <rPr>
        <b/>
        <sz val="11"/>
        <color rgb="FFFF0000"/>
        <rFont val="Calibri"/>
        <family val="2"/>
        <scheme val="minor"/>
      </rPr>
      <t>Viss Nei, gå til steg 3.30 for å skrive inn kommentar.</t>
    </r>
  </si>
  <si>
    <r>
      <t xml:space="preserve">Fungerer lenka som ligg i longdesc-attributtet?
</t>
    </r>
    <r>
      <rPr>
        <b/>
        <sz val="11"/>
        <color rgb="FFFF0000"/>
        <rFont val="Calibri"/>
        <family val="2"/>
        <scheme val="minor"/>
      </rPr>
      <t>Viss Nei, gå til steg 3.30 for å skrive inn kommentar.</t>
    </r>
  </si>
  <si>
    <r>
      <t xml:space="preserve">Er biletet koda med attributtet longdesc?
</t>
    </r>
    <r>
      <rPr>
        <b/>
        <sz val="11"/>
        <color rgb="FFFF0000"/>
        <rFont val="Calibri"/>
        <family val="2"/>
        <scheme val="minor"/>
      </rPr>
      <t>Viss Nei, gå til steg 3.30 for å skrive inn kommentar.</t>
    </r>
  </si>
  <si>
    <r>
      <t xml:space="preserve">Ligg det ei lenke, i direkte tilknytning til biletet, som tek deg til ein utfyllande tekst om biletet?
</t>
    </r>
    <r>
      <rPr>
        <b/>
        <sz val="11"/>
        <color rgb="FFFF0000"/>
        <rFont val="Calibri"/>
        <family val="2"/>
        <scheme val="minor"/>
      </rPr>
      <t>Viss Ja, gå til steg 3.28.</t>
    </r>
  </si>
  <si>
    <r>
      <t xml:space="preserve">Viser attributtet på biletet til ein utfyllande tekst som ligg på same side som biletet?
</t>
    </r>
    <r>
      <rPr>
        <b/>
        <sz val="11"/>
        <color rgb="FFFF0000"/>
        <rFont val="Calibri"/>
        <family val="2"/>
        <scheme val="minor"/>
      </rPr>
      <t>Viss Ja, gå til steg 3.28.</t>
    </r>
  </si>
  <si>
    <r>
      <t xml:space="preserve">Ligg det ein utfyllande tekst om biletet i direkte tilknytning til biletet?
</t>
    </r>
    <r>
      <rPr>
        <b/>
        <sz val="11"/>
        <color rgb="FFFF0000"/>
        <rFont val="Calibri"/>
        <family val="2"/>
        <scheme val="minor"/>
      </rPr>
      <t>Viss Ja, gå til steg 3.28.</t>
    </r>
  </si>
  <si>
    <r>
      <t xml:space="preserve">Gir innhaldet i attributtet ein beskrivande identifikasjon av biletet?
</t>
    </r>
    <r>
      <rPr>
        <b/>
        <sz val="11"/>
        <color rgb="FFFF0000"/>
        <rFont val="Calibri"/>
        <family val="2"/>
        <scheme val="minor"/>
      </rPr>
      <t>Viss Nei gå til steg 3.30 for å skrive inn kommentar.</t>
    </r>
  </si>
  <si>
    <r>
      <t xml:space="preserve">Er biletet komplekst?
</t>
    </r>
    <r>
      <rPr>
        <b/>
        <sz val="11"/>
        <color rgb="FFFF0000"/>
        <rFont val="Calibri"/>
        <family val="2"/>
        <scheme val="minor"/>
      </rPr>
      <t>Viss Nei, gå til steg 3.30 for å skrive inn kommentar.</t>
    </r>
  </si>
  <si>
    <r>
      <t xml:space="preserve">Gir innhaldet i attributtet ein beskrivande identifikasjon av biletet?
</t>
    </r>
    <r>
      <rPr>
        <b/>
        <sz val="11"/>
        <color rgb="FFFF0000"/>
        <rFont val="Calibri"/>
        <family val="2"/>
        <scheme val="minor"/>
      </rPr>
      <t>Gå så til steg 3.30 for å skrive inn kommentar.</t>
    </r>
  </si>
  <si>
    <r>
      <t xml:space="preserve">Er biletet ein test eller ei sanseoppleving?
</t>
    </r>
    <r>
      <rPr>
        <b/>
        <sz val="11"/>
        <color rgb="FFFF0000"/>
        <rFont val="Calibri"/>
        <family val="2"/>
        <scheme val="minor"/>
      </rPr>
      <t>Viss Nei, gå til steg 3.20.</t>
    </r>
  </si>
  <si>
    <r>
      <t xml:space="preserve">Har biletet eit title-attributt?
</t>
    </r>
    <r>
      <rPr>
        <b/>
        <sz val="11"/>
        <color rgb="FFFF0000"/>
        <rFont val="Calibri"/>
        <family val="2"/>
        <scheme val="minor"/>
      </rPr>
      <t>Viss Nei, gå til steg 3.30 for å skrive inn kommentar.</t>
    </r>
  </si>
  <si>
    <r>
      <t xml:space="preserve">Er det innhald i alt-attributtet?
</t>
    </r>
    <r>
      <rPr>
        <b/>
        <sz val="11"/>
        <color rgb="FFFF0000"/>
        <rFont val="Calibri"/>
        <family val="2"/>
        <scheme val="minor"/>
      </rPr>
      <t>Viss Ja, gå til steg 3.18.</t>
    </r>
  </si>
  <si>
    <r>
      <t xml:space="preserve">Har biletet eit alt-attributt?
</t>
    </r>
    <r>
      <rPr>
        <b/>
        <sz val="11"/>
        <color rgb="FFFF0000"/>
        <rFont val="Calibri"/>
        <family val="2"/>
        <scheme val="minor"/>
      </rPr>
      <t>Viss Nei, gå til steg 3.30 for å skrive inn kommentar.</t>
    </r>
  </si>
  <si>
    <r>
      <t xml:space="preserve">Er biletet koda med attributtet role="presentation"?
</t>
    </r>
    <r>
      <rPr>
        <b/>
        <sz val="11"/>
        <color rgb="FFFF0000"/>
        <rFont val="Calibri"/>
        <family val="2"/>
        <scheme val="minor"/>
      </rPr>
      <t>Viss Ja, gå til steg 3.30 for å skrive inn kommentar.</t>
    </r>
  </si>
  <si>
    <r>
      <t xml:space="preserve">Har biletet attributtet "aria-label"?
</t>
    </r>
    <r>
      <rPr>
        <b/>
        <sz val="11"/>
        <color rgb="FFFF0000"/>
        <rFont val="Calibri"/>
        <family val="2"/>
        <scheme val="minor"/>
      </rPr>
      <t>Viss Ja, gå til steg 3.18.</t>
    </r>
  </si>
  <si>
    <r>
      <t xml:space="preserve">Er title-attributtet tomt?
</t>
    </r>
    <r>
      <rPr>
        <b/>
        <sz val="11"/>
        <color rgb="FFFF0000"/>
        <rFont val="Calibri"/>
        <family val="2"/>
        <scheme val="minor"/>
      </rPr>
      <t>Gå så til steg 3.30 for å skrive inn kommentar.</t>
    </r>
  </si>
  <si>
    <r>
      <t xml:space="preserve">Er alt-attributtet tomt?
</t>
    </r>
    <r>
      <rPr>
        <b/>
        <sz val="11"/>
        <color rgb="FFFF0000"/>
        <rFont val="Calibri"/>
        <family val="2"/>
        <scheme val="minor"/>
      </rPr>
      <t>Viss Nei, gå til steg 3.30 for å skrive inn kommentar.</t>
    </r>
  </si>
  <si>
    <r>
      <t xml:space="preserve">Er biletet til pynt/dekor eller brukt som bakgrunn eller til formattering?
</t>
    </r>
    <r>
      <rPr>
        <b/>
        <sz val="11"/>
        <color rgb="FFFF0000"/>
        <rFont val="Calibri"/>
        <family val="2"/>
        <scheme val="minor"/>
      </rPr>
      <t>Viss Nei, gå til steg 3.9</t>
    </r>
  </si>
  <si>
    <r>
      <t xml:space="preserve">Finst det ikkje-lenka bilete på nettsida?
</t>
    </r>
    <r>
      <rPr>
        <b/>
        <sz val="11"/>
        <color rgb="FFFF0000"/>
        <rFont val="Calibri"/>
        <family val="2"/>
        <scheme val="minor"/>
      </rPr>
      <t>Viss Nei, gå til steg 3.30 for å skrive inn kommentar.</t>
    </r>
  </si>
  <si>
    <r>
      <t xml:space="preserve">Er biletet koda med eit eller fleire av attributta aria-label eller aria-labelledby?
</t>
    </r>
    <r>
      <rPr>
        <b/>
        <sz val="11"/>
        <color rgb="FFFF0000"/>
        <rFont val="Calibri"/>
        <family val="2"/>
        <scheme val="minor"/>
      </rPr>
      <t>Viss Ja, gå til steg 3.30 for å skrive inn kommentar.</t>
    </r>
  </si>
  <si>
    <t>Testsidene har ikkje bilete som ikkje er lenka</t>
  </si>
  <si>
    <t xml:space="preserve">Bilete som er pynt og er koda på ein slik måte at det ikkje er til støy. </t>
  </si>
  <si>
    <r>
      <t xml:space="preserve">Er det innhald i title-attributtet?
</t>
    </r>
    <r>
      <rPr>
        <b/>
        <sz val="11"/>
        <color rgb="FFFF0000"/>
        <rFont val="Calibri"/>
        <family val="2"/>
        <scheme val="minor"/>
      </rPr>
      <t xml:space="preserve">
Viss Nei, gå til steg 3.30 for å skrive inn kommentar.</t>
    </r>
  </si>
  <si>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</si>
  <si>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</si>
  <si>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</si>
  <si>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</si>
  <si>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</si>
  <si>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</si>
  <si>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3. For kvart ikkje lenka bilete</t>
  </si>
  <si>
    <t>Bilete som er komplekst og som har ei kobling i  longdesc-attributtet som ikkje fungerer.</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</si>
  <si>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</si>
  <si>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</si>
  <si>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</si>
  <si>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</si>
  <si>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</si>
  <si>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som manglar alt-attributtet.</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</si>
  <si>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</si>
  <si>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</si>
  <si>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</si>
  <si>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</si>
  <si>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</si>
  <si>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</si>
  <si>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</si>
  <si>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</si>
  <si>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</si>
  <si>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</si>
  <si>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</si>
  <si>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</si>
  <si>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</si>
  <si>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</si>
  <si>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</si>
  <si>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</si>
  <si>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</si>
  <si>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</si>
  <si>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</si>
  <si>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r>
      <t xml:space="preserve">Har biletet attributtet "aria-labelledby" eller "aria-describedby"?
</t>
    </r>
    <r>
      <rPr>
        <b/>
        <sz val="11"/>
        <color rgb="FFFF0000"/>
        <rFont val="Calibri"/>
        <family val="2"/>
        <scheme val="minor"/>
      </rPr>
      <t>Viss Nei, gå til steg 3.12.</t>
    </r>
  </si>
  <si>
    <r>
      <t xml:space="preserve">Er aria-labelledby/aria-describedby attributtet kopla til annan tekst på sida?
</t>
    </r>
    <r>
      <rPr>
        <b/>
        <sz val="11"/>
        <color rgb="FFFF0000"/>
        <rFont val="Calibri"/>
        <family val="2"/>
        <scheme val="minor"/>
      </rPr>
      <t xml:space="preserve">
Viss Ja, gå til steg 3.18.</t>
    </r>
  </si>
  <si>
    <t>ARIA10
ARIA15
F65</t>
  </si>
  <si>
    <t>1.1.1 a</t>
  </si>
  <si>
    <t>samsvar</t>
  </si>
  <si>
    <t>sasmvar</t>
  </si>
  <si>
    <t>Kort tekstalternativ til meiningsberande bilete</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</si>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</sst>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7">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6" xfId="0" applyFont="1" applyBorder="1"/>
    <xf numFmtId="0" fontId="8"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9" xfId="0" applyFont="1" applyFill="1" applyBorder="1"/>
    <xf numFmtId="0" fontId="0" fillId="0" borderId="5" xfId="0" applyFill="1" applyBorder="1" applyAlignment="1">
      <alignment vertical="top" wrapText="1"/>
    </xf>
    <xf numFmtId="49" fontId="15" fillId="7" borderId="9" xfId="0" applyNumberFormat="1" applyFont="1" applyFill="1" applyBorder="1" applyAlignment="1">
      <alignment horizontal="right"/>
    </xf>
    <xf numFmtId="0" fontId="9" fillId="0" borderId="5" xfId="0" applyFont="1" applyBorder="1" applyAlignment="1">
      <alignment wrapText="1"/>
    </xf>
    <xf numFmtId="0" fontId="8" fillId="0" borderId="12"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3" xfId="0" applyFont="1" applyBorder="1" applyAlignment="1">
      <alignment wrapText="1"/>
    </xf>
    <xf numFmtId="0" fontId="9" fillId="0" borderId="14"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5"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6" xfId="0" applyNumberFormat="1" applyFill="1" applyBorder="1" applyAlignment="1">
      <alignment horizontal="center" vertical="center"/>
    </xf>
    <xf numFmtId="0" fontId="0" fillId="4" borderId="16" xfId="0" applyFill="1" applyBorder="1" applyAlignment="1">
      <alignment vertical="center" wrapText="1"/>
    </xf>
    <xf numFmtId="0" fontId="0" fillId="4" borderId="16" xfId="0" applyFill="1" applyBorder="1" applyAlignment="1">
      <alignment horizontal="center" vertical="center" wrapText="1"/>
    </xf>
    <xf numFmtId="0" fontId="11" fillId="4" borderId="16" xfId="0" applyFont="1" applyFill="1" applyBorder="1" applyAlignment="1">
      <alignment horizontal="left" vertical="center" wrapText="1"/>
    </xf>
    <xf numFmtId="0" fontId="12" fillId="0" borderId="16" xfId="0" applyFont="1" applyFill="1" applyBorder="1" applyAlignment="1">
      <alignment vertical="center" wrapText="1"/>
    </xf>
    <xf numFmtId="0" fontId="3" fillId="4" borderId="16" xfId="0" applyFont="1"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0" fontId="0" fillId="0" borderId="16" xfId="0" applyBorder="1" applyAlignment="1">
      <alignment horizontal="center" wrapText="1"/>
    </xf>
    <xf numFmtId="0" fontId="0" fillId="4" borderId="16" xfId="0" applyFill="1" applyBorder="1" applyAlignment="1">
      <alignment vertical="center"/>
    </xf>
    <xf numFmtId="0" fontId="4" fillId="0" borderId="16" xfId="1" applyBorder="1" applyAlignment="1">
      <alignment horizontal="center" vertical="center" wrapText="1"/>
    </xf>
    <xf numFmtId="0" fontId="3" fillId="4" borderId="16" xfId="0" applyFont="1" applyFill="1" applyBorder="1" applyAlignment="1">
      <alignment vertical="center" wrapText="1"/>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10" xfId="0" applyFont="1" applyFill="1" applyBorder="1" applyAlignment="1">
      <alignment horizontal="center"/>
    </xf>
    <xf numFmtId="0" fontId="15" fillId="7" borderId="11" xfId="0" applyFont="1" applyFill="1" applyBorder="1" applyAlignment="1">
      <alignment horizontal="center"/>
    </xf>
    <xf numFmtId="0" fontId="0" fillId="5" borderId="16" xfId="0" applyFill="1" applyBorder="1" applyAlignment="1">
      <alignment horizontal="center" vertical="center" wrapText="1"/>
    </xf>
    <xf numFmtId="49" fontId="0" fillId="5" borderId="16" xfId="0" applyNumberFormat="1" applyFill="1" applyBorder="1" applyAlignment="1">
      <alignment horizontal="center" vertical="center" wrapText="1"/>
    </xf>
    <xf numFmtId="0" fontId="0" fillId="0" borderId="16" xfId="0" applyBorder="1" applyAlignment="1">
      <alignment horizontal="center" vertical="center" wrapText="1"/>
    </xf>
    <xf numFmtId="49" fontId="0" fillId="6" borderId="3" xfId="0" applyNumberForma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9" fillId="3" borderId="0" xfId="0" applyFont="1" applyFill="1" applyAlignment="1">
      <alignment vertical="center"/>
    </xf>
  </cellXfs>
  <cellStyles count="2">
    <cellStyle name="Hyperkobling" xfId="1" builtinId="8"/>
    <cellStyle name="Normal" xfId="0" builtinId="0"/>
  </cellStyles>
  <dxfs count="4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619125</xdr:colOff>
      <xdr:row>1</xdr:row>
      <xdr:rowOff>838200</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504825</xdr:colOff>
      <xdr:row>2</xdr:row>
      <xdr:rowOff>238125</xdr:rowOff>
    </xdr:from>
    <xdr:to>
      <xdr:col>5</xdr:col>
      <xdr:colOff>2428875</xdr:colOff>
      <xdr:row>4</xdr:row>
      <xdr:rowOff>161925</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96475" y="6191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1924050</xdr:colOff>
      <xdr:row>31</xdr:row>
      <xdr:rowOff>114300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2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6"/>
  <sheetViews>
    <sheetView showGridLines="0" zoomScaleNormal="100" workbookViewId="0">
      <selection activeCell="B11" sqref="B11"/>
    </sheetView>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5" s="47" customFormat="1" ht="32.25" customHeight="1" x14ac:dyDescent="0.25">
      <c r="A1" s="50" t="s">
        <v>109</v>
      </c>
      <c r="B1" s="46"/>
      <c r="C1" s="46"/>
      <c r="D1" s="106"/>
      <c r="E1" s="46"/>
    </row>
    <row r="2" spans="1:5" s="89" customFormat="1" ht="165" outlineLevel="1" x14ac:dyDescent="0.25">
      <c r="A2" s="88" t="s">
        <v>7</v>
      </c>
      <c r="B2" s="86" t="s">
        <v>182</v>
      </c>
      <c r="C2" s="87" t="s">
        <v>116</v>
      </c>
      <c r="D2" s="90" t="s">
        <v>183</v>
      </c>
      <c r="E2" s="91">
        <v>42990</v>
      </c>
    </row>
    <row r="3" spans="1:5" ht="30" customHeight="1" x14ac:dyDescent="0.25">
      <c r="A3" s="19" t="s">
        <v>3</v>
      </c>
      <c r="B3" s="18"/>
      <c r="C3" s="18"/>
      <c r="D3" s="18"/>
      <c r="E3" s="18"/>
    </row>
    <row r="4" spans="1:5" ht="30" customHeight="1" x14ac:dyDescent="0.25">
      <c r="A4" s="79" t="s">
        <v>71</v>
      </c>
      <c r="B4" s="80" t="s">
        <v>16</v>
      </c>
      <c r="C4" s="80" t="s">
        <v>14</v>
      </c>
      <c r="D4" s="81" t="s">
        <v>6</v>
      </c>
      <c r="E4" s="79" t="s">
        <v>13</v>
      </c>
    </row>
    <row r="5" spans="1:5" x14ac:dyDescent="0.25">
      <c r="A5" s="73" t="s">
        <v>1</v>
      </c>
      <c r="B5" s="83" t="s">
        <v>28</v>
      </c>
      <c r="C5" s="83"/>
      <c r="D5" s="74"/>
      <c r="E5" s="85"/>
    </row>
    <row r="6" spans="1:5" x14ac:dyDescent="0.25">
      <c r="A6" s="73" t="s">
        <v>2</v>
      </c>
      <c r="B6" s="83" t="s">
        <v>29</v>
      </c>
      <c r="C6" s="83" t="s">
        <v>30</v>
      </c>
      <c r="D6" s="96"/>
      <c r="E6" s="85"/>
    </row>
    <row r="7" spans="1:5" ht="30" x14ac:dyDescent="0.25">
      <c r="A7" s="73" t="s">
        <v>12</v>
      </c>
      <c r="B7" s="74" t="s">
        <v>31</v>
      </c>
      <c r="C7" s="74" t="s">
        <v>32</v>
      </c>
      <c r="D7" s="97"/>
      <c r="E7" s="85"/>
    </row>
    <row r="8" spans="1:5" ht="30" customHeight="1" x14ac:dyDescent="0.25">
      <c r="A8" s="72" t="s">
        <v>18</v>
      </c>
      <c r="B8" s="69"/>
      <c r="C8" s="69"/>
      <c r="D8" s="99"/>
      <c r="E8" s="69"/>
    </row>
    <row r="9" spans="1:5" ht="30" customHeight="1" x14ac:dyDescent="0.25">
      <c r="A9" s="79" t="s">
        <v>71</v>
      </c>
      <c r="B9" s="80" t="s">
        <v>16</v>
      </c>
      <c r="C9" s="80" t="s">
        <v>14</v>
      </c>
      <c r="D9" s="81" t="s">
        <v>6</v>
      </c>
      <c r="E9" s="79" t="s">
        <v>13</v>
      </c>
    </row>
    <row r="10" spans="1:5" ht="150" x14ac:dyDescent="0.25">
      <c r="A10" s="73" t="s">
        <v>49</v>
      </c>
      <c r="B10" s="74" t="s">
        <v>137</v>
      </c>
      <c r="C10" s="74" t="s">
        <v>110</v>
      </c>
      <c r="D10" s="96"/>
      <c r="E10" s="75"/>
    </row>
    <row r="11" spans="1:5" ht="29.25" customHeight="1" x14ac:dyDescent="0.25">
      <c r="A11" s="73" t="s">
        <v>118</v>
      </c>
      <c r="B11" s="74" t="s">
        <v>117</v>
      </c>
      <c r="C11" s="74"/>
      <c r="D11" s="84"/>
      <c r="E11" s="83"/>
    </row>
    <row r="12" spans="1:5" ht="30" customHeight="1" x14ac:dyDescent="0.25">
      <c r="A12" s="24" t="s">
        <v>148</v>
      </c>
      <c r="B12" s="18"/>
      <c r="C12" s="18"/>
      <c r="D12" s="34"/>
      <c r="E12" s="18"/>
    </row>
    <row r="13" spans="1:5" ht="30" customHeight="1" x14ac:dyDescent="0.25">
      <c r="A13" s="79" t="s">
        <v>71</v>
      </c>
      <c r="B13" s="80" t="s">
        <v>16</v>
      </c>
      <c r="C13" s="80" t="s">
        <v>14</v>
      </c>
      <c r="D13" s="81" t="s">
        <v>6</v>
      </c>
      <c r="E13" s="79" t="s">
        <v>13</v>
      </c>
    </row>
    <row r="14" spans="1:5" ht="30" x14ac:dyDescent="0.25">
      <c r="A14" s="73" t="s">
        <v>22</v>
      </c>
      <c r="B14" s="74" t="s">
        <v>74</v>
      </c>
      <c r="C14" s="74" t="s">
        <v>75</v>
      </c>
      <c r="D14" s="82"/>
      <c r="E14" s="83"/>
    </row>
    <row r="15" spans="1:5" s="53" customFormat="1" x14ac:dyDescent="0.25">
      <c r="A15" s="69"/>
      <c r="B15" s="70" t="s">
        <v>76</v>
      </c>
      <c r="C15" s="71"/>
      <c r="D15" s="71"/>
      <c r="E15" s="52"/>
    </row>
    <row r="16" spans="1:5" ht="60" x14ac:dyDescent="0.25">
      <c r="A16" s="73" t="s">
        <v>23</v>
      </c>
      <c r="B16" s="74" t="s">
        <v>136</v>
      </c>
      <c r="C16" s="74" t="s">
        <v>77</v>
      </c>
      <c r="D16" s="98"/>
      <c r="E16" s="75"/>
    </row>
    <row r="17" spans="1:5" ht="60" x14ac:dyDescent="0.25">
      <c r="A17" s="73" t="s">
        <v>33</v>
      </c>
      <c r="B17" s="74" t="s">
        <v>138</v>
      </c>
      <c r="C17" s="74" t="s">
        <v>80</v>
      </c>
      <c r="D17" s="98"/>
      <c r="E17" s="75" t="s">
        <v>161</v>
      </c>
    </row>
    <row r="18" spans="1:5" ht="45" x14ac:dyDescent="0.25">
      <c r="A18" s="73" t="s">
        <v>24</v>
      </c>
      <c r="B18" s="74" t="s">
        <v>132</v>
      </c>
      <c r="C18" s="74" t="s">
        <v>79</v>
      </c>
      <c r="D18" s="98"/>
      <c r="E18" s="75" t="s">
        <v>167</v>
      </c>
    </row>
    <row r="19" spans="1:5" ht="45" x14ac:dyDescent="0.25">
      <c r="A19" s="73" t="s">
        <v>35</v>
      </c>
      <c r="B19" s="74" t="s">
        <v>131</v>
      </c>
      <c r="C19" s="74" t="s">
        <v>79</v>
      </c>
      <c r="D19" s="98"/>
      <c r="E19" s="75" t="s">
        <v>162</v>
      </c>
    </row>
    <row r="20" spans="1:5" ht="45" x14ac:dyDescent="0.25">
      <c r="A20" s="73" t="s">
        <v>25</v>
      </c>
      <c r="B20" s="74" t="s">
        <v>135</v>
      </c>
      <c r="C20" s="74" t="s">
        <v>78</v>
      </c>
      <c r="D20" s="98"/>
      <c r="E20" s="75" t="s">
        <v>168</v>
      </c>
    </row>
    <row r="21" spans="1:5" ht="45" x14ac:dyDescent="0.25">
      <c r="A21" s="73" t="s">
        <v>26</v>
      </c>
      <c r="B21" s="74" t="s">
        <v>129</v>
      </c>
      <c r="C21" s="74" t="s">
        <v>79</v>
      </c>
      <c r="D21" s="98"/>
      <c r="E21" s="75" t="s">
        <v>167</v>
      </c>
    </row>
    <row r="22" spans="1:5" ht="60" x14ac:dyDescent="0.25">
      <c r="A22" s="73" t="s">
        <v>27</v>
      </c>
      <c r="B22" s="74" t="s">
        <v>134</v>
      </c>
      <c r="C22" s="74" t="s">
        <v>81</v>
      </c>
      <c r="D22" s="98"/>
      <c r="E22" s="75" t="s">
        <v>167</v>
      </c>
    </row>
    <row r="23" spans="1:5" s="53" customFormat="1" x14ac:dyDescent="0.25">
      <c r="A23" s="69"/>
      <c r="B23" s="70" t="s">
        <v>181</v>
      </c>
      <c r="C23" s="71"/>
      <c r="D23" s="71"/>
      <c r="E23" s="52"/>
    </row>
    <row r="24" spans="1:5" ht="105" x14ac:dyDescent="0.25">
      <c r="A24" s="73" t="s">
        <v>45</v>
      </c>
      <c r="B24" s="74" t="s">
        <v>133</v>
      </c>
      <c r="C24" s="74" t="s">
        <v>82</v>
      </c>
      <c r="D24" s="98"/>
      <c r="E24" s="75" t="s">
        <v>171</v>
      </c>
    </row>
    <row r="25" spans="1:5" ht="75" x14ac:dyDescent="0.25">
      <c r="A25" s="73" t="s">
        <v>50</v>
      </c>
      <c r="B25" s="74" t="s">
        <v>175</v>
      </c>
      <c r="C25" s="74" t="s">
        <v>72</v>
      </c>
      <c r="D25" s="98"/>
      <c r="E25" s="75" t="s">
        <v>177</v>
      </c>
    </row>
    <row r="26" spans="1:5" ht="60" x14ac:dyDescent="0.25">
      <c r="A26" s="73" t="s">
        <v>51</v>
      </c>
      <c r="B26" s="74" t="s">
        <v>176</v>
      </c>
      <c r="C26" s="74" t="s">
        <v>63</v>
      </c>
      <c r="D26" s="98"/>
      <c r="E26" s="75" t="s">
        <v>177</v>
      </c>
    </row>
    <row r="27" spans="1:5" ht="45" x14ac:dyDescent="0.25">
      <c r="A27" s="73" t="s">
        <v>52</v>
      </c>
      <c r="B27" s="74" t="s">
        <v>132</v>
      </c>
      <c r="C27" s="74" t="s">
        <v>79</v>
      </c>
      <c r="D27" s="98"/>
      <c r="E27" s="75" t="s">
        <v>167</v>
      </c>
    </row>
    <row r="28" spans="1:5" ht="45" x14ac:dyDescent="0.25">
      <c r="A28" s="73" t="s">
        <v>53</v>
      </c>
      <c r="B28" s="74" t="s">
        <v>106</v>
      </c>
      <c r="C28" s="74" t="s">
        <v>107</v>
      </c>
      <c r="D28" s="98"/>
      <c r="E28" s="75" t="s">
        <v>162</v>
      </c>
    </row>
    <row r="29" spans="1:5" ht="45" x14ac:dyDescent="0.25">
      <c r="A29" s="73" t="s">
        <v>54</v>
      </c>
      <c r="B29" s="74" t="s">
        <v>131</v>
      </c>
      <c r="C29" s="74" t="s">
        <v>79</v>
      </c>
      <c r="D29" s="98"/>
      <c r="E29" s="75" t="s">
        <v>172</v>
      </c>
    </row>
    <row r="30" spans="1:5" ht="45" x14ac:dyDescent="0.25">
      <c r="A30" s="73" t="s">
        <v>61</v>
      </c>
      <c r="B30" s="74" t="s">
        <v>130</v>
      </c>
      <c r="C30" s="74" t="s">
        <v>78</v>
      </c>
      <c r="D30" s="98"/>
      <c r="E30" s="75" t="s">
        <v>162</v>
      </c>
    </row>
    <row r="31" spans="1:5" ht="45" x14ac:dyDescent="0.25">
      <c r="A31" s="73" t="s">
        <v>62</v>
      </c>
      <c r="B31" s="74" t="s">
        <v>129</v>
      </c>
      <c r="C31" s="74" t="s">
        <v>79</v>
      </c>
      <c r="D31" s="98"/>
      <c r="E31" s="75" t="s">
        <v>169</v>
      </c>
    </row>
    <row r="32" spans="1:5" ht="60" x14ac:dyDescent="0.25">
      <c r="A32" s="73" t="s">
        <v>83</v>
      </c>
      <c r="B32" s="74" t="s">
        <v>141</v>
      </c>
      <c r="C32" s="74" t="s">
        <v>81</v>
      </c>
      <c r="D32" s="98"/>
      <c r="E32" s="75" t="s">
        <v>169</v>
      </c>
    </row>
    <row r="33" spans="1:5" ht="150" x14ac:dyDescent="0.25">
      <c r="A33" s="73" t="s">
        <v>85</v>
      </c>
      <c r="B33" s="74" t="s">
        <v>128</v>
      </c>
      <c r="C33" s="74" t="s">
        <v>84</v>
      </c>
      <c r="D33" s="98"/>
      <c r="E33" s="75"/>
    </row>
    <row r="34" spans="1:5" ht="135" x14ac:dyDescent="0.25">
      <c r="A34" s="73" t="s">
        <v>86</v>
      </c>
      <c r="B34" s="74" t="s">
        <v>127</v>
      </c>
      <c r="C34" s="74" t="s">
        <v>104</v>
      </c>
      <c r="D34" s="98"/>
      <c r="E34" s="75" t="s">
        <v>174</v>
      </c>
    </row>
    <row r="35" spans="1:5" ht="196.5" customHeight="1" x14ac:dyDescent="0.25">
      <c r="A35" s="73" t="s">
        <v>87</v>
      </c>
      <c r="B35" s="74" t="s">
        <v>97</v>
      </c>
      <c r="C35" s="74" t="s">
        <v>105</v>
      </c>
      <c r="D35" s="98"/>
      <c r="E35" s="75" t="s">
        <v>170</v>
      </c>
    </row>
    <row r="36" spans="1:5" ht="45" x14ac:dyDescent="0.25">
      <c r="A36" s="73" t="s">
        <v>88</v>
      </c>
      <c r="B36" s="74" t="s">
        <v>126</v>
      </c>
      <c r="C36" s="74" t="s">
        <v>98</v>
      </c>
      <c r="D36" s="98"/>
      <c r="E36" s="75"/>
    </row>
    <row r="37" spans="1:5" s="53" customFormat="1" x14ac:dyDescent="0.25">
      <c r="A37" s="69"/>
      <c r="B37" s="70" t="s">
        <v>111</v>
      </c>
      <c r="C37" s="71"/>
      <c r="D37" s="71"/>
      <c r="E37" s="52"/>
    </row>
    <row r="38" spans="1:5" ht="180" x14ac:dyDescent="0.25">
      <c r="A38" s="73" t="s">
        <v>89</v>
      </c>
      <c r="B38" s="74" t="s">
        <v>125</v>
      </c>
      <c r="C38" s="74" t="s">
        <v>113</v>
      </c>
      <c r="D38" s="98"/>
      <c r="E38" s="75" t="s">
        <v>163</v>
      </c>
    </row>
    <row r="39" spans="1:5" ht="120" x14ac:dyDescent="0.25">
      <c r="A39" s="73" t="s">
        <v>90</v>
      </c>
      <c r="B39" s="74" t="s">
        <v>124</v>
      </c>
      <c r="C39" s="74" t="s">
        <v>112</v>
      </c>
      <c r="D39" s="98"/>
      <c r="E39" s="75" t="s">
        <v>165</v>
      </c>
    </row>
    <row r="40" spans="1:5" ht="60" x14ac:dyDescent="0.25">
      <c r="A40" s="73" t="s">
        <v>91</v>
      </c>
      <c r="B40" s="74" t="s">
        <v>123</v>
      </c>
      <c r="C40" s="74" t="s">
        <v>99</v>
      </c>
      <c r="D40" s="98"/>
      <c r="E40" s="75" t="s">
        <v>165</v>
      </c>
    </row>
    <row r="41" spans="1:5" ht="75" x14ac:dyDescent="0.25">
      <c r="A41" s="73" t="s">
        <v>92</v>
      </c>
      <c r="B41" s="74" t="s">
        <v>122</v>
      </c>
      <c r="C41" s="74" t="s">
        <v>100</v>
      </c>
      <c r="D41" s="98"/>
      <c r="E41" s="75" t="s">
        <v>164</v>
      </c>
    </row>
    <row r="42" spans="1:5" ht="45" x14ac:dyDescent="0.25">
      <c r="A42" s="73" t="s">
        <v>93</v>
      </c>
      <c r="B42" s="74" t="s">
        <v>121</v>
      </c>
      <c r="C42" s="74" t="s">
        <v>79</v>
      </c>
      <c r="D42" s="98"/>
      <c r="E42" s="75" t="s">
        <v>166</v>
      </c>
    </row>
    <row r="43" spans="1:5" ht="45" x14ac:dyDescent="0.25">
      <c r="A43" s="73" t="s">
        <v>94</v>
      </c>
      <c r="B43" s="74" t="s">
        <v>120</v>
      </c>
      <c r="C43" s="74" t="s">
        <v>101</v>
      </c>
      <c r="D43" s="98"/>
      <c r="E43" s="75" t="s">
        <v>166</v>
      </c>
    </row>
    <row r="44" spans="1:5" ht="180" x14ac:dyDescent="0.25">
      <c r="A44" s="73" t="s">
        <v>95</v>
      </c>
      <c r="B44" s="74" t="s">
        <v>119</v>
      </c>
      <c r="C44" s="74" t="s">
        <v>114</v>
      </c>
      <c r="D44" s="98"/>
      <c r="E44" s="75"/>
    </row>
    <row r="45" spans="1:5" ht="108" customHeight="1" x14ac:dyDescent="0.25">
      <c r="A45" s="73" t="s">
        <v>96</v>
      </c>
      <c r="B45" s="74" t="s">
        <v>102</v>
      </c>
      <c r="C45" s="74" t="s">
        <v>115</v>
      </c>
      <c r="D45" s="98"/>
      <c r="E45" s="75" t="s">
        <v>173</v>
      </c>
    </row>
    <row r="46" spans="1:5" ht="75" x14ac:dyDescent="0.25">
      <c r="A46" s="73" t="s">
        <v>108</v>
      </c>
      <c r="B46" s="76" t="s">
        <v>73</v>
      </c>
      <c r="C46" s="74" t="s">
        <v>46</v>
      </c>
      <c r="D46" s="77"/>
      <c r="E46" s="78"/>
    </row>
    <row r="47" spans="1:5" ht="30" customHeight="1" x14ac:dyDescent="0.25">
      <c r="A47" s="24" t="s">
        <v>44</v>
      </c>
      <c r="B47" s="18"/>
      <c r="C47" s="18"/>
      <c r="D47" s="34"/>
      <c r="E47" s="35"/>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8:E212">
    <cfRule type="cellIs" dxfId="47" priority="79" operator="equal">
      <formula>"JA"</formula>
    </cfRule>
  </conditionalFormatting>
  <conditionalFormatting sqref="E48:E370">
    <cfRule type="cellIs" dxfId="46" priority="78" operator="equal">
      <formula>"Nei"</formula>
    </cfRule>
  </conditionalFormatting>
  <conditionalFormatting sqref="D10">
    <cfRule type="expression" dxfId="45" priority="105">
      <formula>#REF!="Nei"</formula>
    </cfRule>
  </conditionalFormatting>
  <conditionalFormatting sqref="D11 D14 D16:D22 D24:D36 D38:D45">
    <cfRule type="expression" dxfId="44" priority="28">
      <formula>$D$10="nei"</formula>
    </cfRule>
  </conditionalFormatting>
  <conditionalFormatting sqref="D17:D22">
    <cfRule type="expression" dxfId="43" priority="27">
      <formula>$D$16="nei"</formula>
    </cfRule>
  </conditionalFormatting>
  <conditionalFormatting sqref="D18:D22 D24:D36 D38:D45">
    <cfRule type="expression" dxfId="42" priority="26">
      <formula>$D$17="ja"</formula>
    </cfRule>
  </conditionalFormatting>
  <conditionalFormatting sqref="D19:D22 D24:D36 D38:D45">
    <cfRule type="expression" dxfId="41" priority="25">
      <formula>$D$18="ja"</formula>
    </cfRule>
  </conditionalFormatting>
  <conditionalFormatting sqref="D20:D22 D24:D36 D38:D45">
    <cfRule type="expression" dxfId="40" priority="24">
      <formula>$D$19="nei"</formula>
    </cfRule>
  </conditionalFormatting>
  <conditionalFormatting sqref="D21:D22 D24:D36 D38:D45">
    <cfRule type="expression" dxfId="39" priority="23">
      <formula>$D$20="nei"</formula>
    </cfRule>
  </conditionalFormatting>
  <conditionalFormatting sqref="D22 D24:D36 D38:D45">
    <cfRule type="expression" dxfId="38" priority="22">
      <formula>$D$21="nei"</formula>
    </cfRule>
  </conditionalFormatting>
  <conditionalFormatting sqref="D24:D36 D38:D45">
    <cfRule type="expression" dxfId="37" priority="19">
      <formula>OR($D$22="ja",$D$22="nei")</formula>
    </cfRule>
  </conditionalFormatting>
  <conditionalFormatting sqref="D25:D32">
    <cfRule type="expression" dxfId="36" priority="18">
      <formula>$D$24="ja"</formula>
    </cfRule>
  </conditionalFormatting>
  <conditionalFormatting sqref="D26">
    <cfRule type="expression" dxfId="35" priority="17">
      <formula>$D$25="Nei"</formula>
    </cfRule>
  </conditionalFormatting>
  <conditionalFormatting sqref="D28:D36 D38:D45">
    <cfRule type="expression" dxfId="34" priority="16">
      <formula>$D$27="ja"</formula>
    </cfRule>
  </conditionalFormatting>
  <conditionalFormatting sqref="D29:D30">
    <cfRule type="expression" dxfId="33" priority="15">
      <formula>$D$28="nei"</formula>
    </cfRule>
  </conditionalFormatting>
  <conditionalFormatting sqref="D30:D36 D38:D45">
    <cfRule type="expression" dxfId="32" priority="14">
      <formula>$D$29="nei"</formula>
    </cfRule>
  </conditionalFormatting>
  <conditionalFormatting sqref="D31:D32">
    <cfRule type="expression" dxfId="31" priority="13">
      <formula>$D$30="ja"</formula>
    </cfRule>
  </conditionalFormatting>
  <conditionalFormatting sqref="D39:D45">
    <cfRule type="expression" dxfId="30" priority="12">
      <formula>$D$38="nei"</formula>
    </cfRule>
  </conditionalFormatting>
  <conditionalFormatting sqref="D40:D43">
    <cfRule type="expression" dxfId="29" priority="11">
      <formula>$D$39="ja"</formula>
    </cfRule>
  </conditionalFormatting>
  <conditionalFormatting sqref="D41:D42">
    <cfRule type="expression" dxfId="28" priority="10">
      <formula>$D$40="ja"</formula>
    </cfRule>
  </conditionalFormatting>
  <conditionalFormatting sqref="D42:D43">
    <cfRule type="expression" dxfId="27" priority="9">
      <formula>$D$41="ja"</formula>
    </cfRule>
  </conditionalFormatting>
  <conditionalFormatting sqref="D43:D45">
    <cfRule type="expression" dxfId="26" priority="8">
      <formula>$D$42="nei"</formula>
    </cfRule>
  </conditionalFormatting>
  <conditionalFormatting sqref="D44:D45">
    <cfRule type="expression" dxfId="25" priority="7">
      <formula>$D$43="nei"</formula>
    </cfRule>
  </conditionalFormatting>
  <conditionalFormatting sqref="D45">
    <cfRule type="expression" dxfId="24" priority="6">
      <formula>$D$44="Nei"</formula>
    </cfRule>
  </conditionalFormatting>
  <conditionalFormatting sqref="D32:D36 D38:D45">
    <cfRule type="expression" dxfId="23" priority="5">
      <formula>$D$31="nei"</formula>
    </cfRule>
  </conditionalFormatting>
  <conditionalFormatting sqref="D33:D36 D38:D45">
    <cfRule type="expression" dxfId="22" priority="4">
      <formula>$D$32="nei"</formula>
    </cfRule>
  </conditionalFormatting>
  <conditionalFormatting sqref="D34">
    <cfRule type="expression" dxfId="21" priority="3">
      <formula>$D$33="nei"</formula>
    </cfRule>
  </conditionalFormatting>
  <conditionalFormatting sqref="D38:D45">
    <cfRule type="expression" dxfId="20" priority="2">
      <formula>$D$36="nei"</formula>
    </cfRule>
  </conditionalFormatting>
  <conditionalFormatting sqref="D35:D36 D38:D45">
    <cfRule type="expression" dxfId="19" priority="1">
      <formula>OR($D$34="nei",$D$34="ja")</formula>
    </cfRule>
  </conditionalFormatting>
  <dataValidations count="6">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 type="custom" allowBlank="1" showInputMessage="1" showErrorMessage="1" sqref="E6:E1048576 E1:E4 C48:C1048576 B48:B1048576 A48:A1048576">
      <formula1>"&lt;&gt;"""""</formula1>
    </dataValidation>
    <dataValidation type="custom" allowBlank="1" showInputMessage="1" showErrorMessage="1" error="Det er ikkje tillate å skrive i denne cella" sqref="E5">
      <formula1>"&lt;&gt;"""""</formula1>
    </dataValidation>
    <dataValidation type="custom" showInputMessage="1" showErrorMessage="1" sqref="A1:C47">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D16:D22 D38:D45 D10 D24:D36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tabSelected="1" zoomScaleNormal="100" workbookViewId="0">
      <selection activeCell="D5" sqref="D5"/>
    </sheetView>
  </sheetViews>
  <sheetFormatPr baseColWidth="10" defaultColWidth="11.7109375" defaultRowHeight="15" outlineLevelRow="1" x14ac:dyDescent="0.25"/>
  <cols>
    <col min="1" max="1" width="15" style="45" customWidth="1"/>
    <col min="2" max="2" width="23.7109375" style="1" customWidth="1"/>
    <col min="3" max="3" width="37.28515625" style="1" customWidth="1"/>
    <col min="4" max="4" width="19.85546875" style="1" customWidth="1"/>
    <col min="5" max="5" width="50.7109375" style="1" customWidth="1"/>
    <col min="6" max="6" width="50.7109375" style="45" customWidth="1"/>
    <col min="7" max="7" width="18" style="1" customWidth="1"/>
    <col min="8" max="8" width="13.28515625" style="23" customWidth="1"/>
    <col min="9" max="15" width="13.28515625" style="23" bestFit="1" customWidth="1"/>
    <col min="16" max="16" width="14.140625" style="23" bestFit="1" customWidth="1"/>
    <col min="17" max="17" width="13.7109375" style="23" bestFit="1" customWidth="1"/>
    <col min="18" max="25" width="14.140625" style="23" bestFit="1" customWidth="1"/>
    <col min="26" max="26" width="14.7109375" style="23" bestFit="1" customWidth="1"/>
    <col min="27" max="27" width="14.140625" style="23" bestFit="1" customWidth="1"/>
    <col min="28" max="35" width="14.7109375" style="23" bestFit="1" customWidth="1"/>
    <col min="36" max="16384" width="11.7109375" style="1"/>
  </cols>
  <sheetData>
    <row r="1" spans="1:35" ht="30" customHeight="1" x14ac:dyDescent="0.25">
      <c r="A1" s="50" t="str">
        <f>Registering!A1</f>
        <v>1.1.1 a Bilete har tekstalternativ</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75" hidden="1" outlineLevel="1" x14ac:dyDescent="0.25">
      <c r="A2" s="2" t="s">
        <v>7</v>
      </c>
      <c r="B2" s="51"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38" t="s">
        <v>36</v>
      </c>
      <c r="B3" s="18"/>
      <c r="C3" s="18"/>
      <c r="D3" s="18"/>
      <c r="E3" s="18"/>
      <c r="F3" s="35"/>
      <c r="G3" s="18"/>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row>
    <row r="4" spans="1:35" x14ac:dyDescent="0.25">
      <c r="A4" s="40" t="s">
        <v>37</v>
      </c>
      <c r="B4" s="26"/>
      <c r="C4" s="27"/>
      <c r="D4" s="27"/>
      <c r="E4" s="18"/>
      <c r="F4" s="18"/>
      <c r="G4" s="18"/>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row>
    <row r="5" spans="1:35" x14ac:dyDescent="0.25">
      <c r="A5" s="27"/>
      <c r="B5" s="26" t="s">
        <v>139</v>
      </c>
      <c r="C5" s="22"/>
      <c r="D5" s="27"/>
      <c r="E5" s="18"/>
      <c r="F5" s="18"/>
      <c r="G5" s="18"/>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row>
    <row r="6" spans="1:35" x14ac:dyDescent="0.25">
      <c r="A6" s="27"/>
      <c r="B6" s="26"/>
      <c r="C6" s="22"/>
      <c r="D6" s="27"/>
      <c r="E6" s="18"/>
      <c r="F6" s="18"/>
      <c r="G6" s="18"/>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25">
      <c r="A7" s="29"/>
      <c r="B7" s="21"/>
      <c r="C7" s="22"/>
      <c r="D7" s="27"/>
      <c r="E7" s="18"/>
      <c r="F7" s="18"/>
      <c r="G7" s="18"/>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30" customHeight="1" collapsed="1" x14ac:dyDescent="0.25">
      <c r="A8" s="38" t="s">
        <v>38</v>
      </c>
      <c r="B8" s="18"/>
      <c r="C8" s="18"/>
      <c r="D8" s="18"/>
      <c r="E8" s="18"/>
      <c r="F8" s="35"/>
      <c r="G8" s="18"/>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row>
    <row r="9" spans="1:35" x14ac:dyDescent="0.25">
      <c r="A9" s="40" t="s">
        <v>39</v>
      </c>
      <c r="B9" s="26"/>
      <c r="C9" s="22"/>
      <c r="D9" s="27"/>
      <c r="E9" s="18"/>
      <c r="F9" s="18"/>
      <c r="G9" s="18"/>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row>
    <row r="10" spans="1:35" x14ac:dyDescent="0.25">
      <c r="A10" s="27"/>
      <c r="B10" s="26" t="s">
        <v>41</v>
      </c>
      <c r="C10" s="22"/>
      <c r="D10" s="27">
        <f>COUNTA(A15:A700)</f>
        <v>0</v>
      </c>
      <c r="E10" s="18"/>
      <c r="F10" s="18"/>
      <c r="G10" s="18"/>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row>
    <row r="11" spans="1:35" x14ac:dyDescent="0.25">
      <c r="A11" s="27"/>
      <c r="B11" s="28" t="s">
        <v>42</v>
      </c>
      <c r="C11" s="22"/>
      <c r="D11" s="27">
        <f>COUNTIF(D15:D700,"NEI")</f>
        <v>0</v>
      </c>
      <c r="E11" s="18"/>
      <c r="F11" s="18"/>
      <c r="G11" s="18"/>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row>
    <row r="12" spans="1:35" x14ac:dyDescent="0.25">
      <c r="A12" s="27"/>
      <c r="B12" s="28" t="s">
        <v>43</v>
      </c>
      <c r="C12" s="22"/>
      <c r="D12" s="27">
        <f>COUNTIF(D$15:D700,"JA")</f>
        <v>0</v>
      </c>
      <c r="E12" s="18"/>
      <c r="F12" s="18"/>
      <c r="G12" s="18"/>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30" customHeight="1" collapsed="1" x14ac:dyDescent="0.25">
      <c r="A13" s="38" t="s">
        <v>40</v>
      </c>
      <c r="B13" s="18"/>
      <c r="C13" s="18"/>
      <c r="D13" s="18"/>
      <c r="E13" s="18"/>
      <c r="F13" s="35"/>
      <c r="G13" s="18"/>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39" customHeight="1" x14ac:dyDescent="0.25">
      <c r="A14" s="41" t="s">
        <v>0</v>
      </c>
      <c r="B14" s="20" t="s">
        <v>15</v>
      </c>
      <c r="C14" s="20" t="s">
        <v>64</v>
      </c>
      <c r="D14" s="42" t="s">
        <v>185</v>
      </c>
      <c r="E14" s="20" t="s">
        <v>184</v>
      </c>
      <c r="F14" s="20" t="s">
        <v>4</v>
      </c>
      <c r="G14" s="41" t="s">
        <v>8</v>
      </c>
      <c r="H14" s="43" t="s">
        <v>23</v>
      </c>
      <c r="I14" s="43" t="s">
        <v>33</v>
      </c>
      <c r="J14" s="43" t="s">
        <v>24</v>
      </c>
      <c r="K14" s="43" t="s">
        <v>35</v>
      </c>
      <c r="L14" s="43" t="s">
        <v>25</v>
      </c>
      <c r="M14" s="43" t="s">
        <v>26</v>
      </c>
      <c r="N14" s="43" t="s">
        <v>27</v>
      </c>
      <c r="O14" s="43" t="s">
        <v>45</v>
      </c>
      <c r="P14" s="43" t="s">
        <v>50</v>
      </c>
      <c r="Q14" s="43" t="s">
        <v>51</v>
      </c>
      <c r="R14" s="43" t="s">
        <v>52</v>
      </c>
      <c r="S14" s="43" t="s">
        <v>53</v>
      </c>
      <c r="T14" s="43" t="s">
        <v>54</v>
      </c>
      <c r="U14" s="43" t="s">
        <v>61</v>
      </c>
      <c r="V14" s="43" t="s">
        <v>62</v>
      </c>
      <c r="W14" s="43" t="s">
        <v>83</v>
      </c>
      <c r="X14" s="43" t="s">
        <v>85</v>
      </c>
      <c r="Y14" s="43" t="s">
        <v>86</v>
      </c>
      <c r="Z14" s="43" t="s">
        <v>87</v>
      </c>
      <c r="AA14" s="43" t="s">
        <v>88</v>
      </c>
      <c r="AB14" s="43" t="s">
        <v>89</v>
      </c>
      <c r="AC14" s="43" t="s">
        <v>90</v>
      </c>
      <c r="AD14" s="43" t="s">
        <v>91</v>
      </c>
      <c r="AE14" s="43" t="s">
        <v>92</v>
      </c>
      <c r="AF14" s="43" t="s">
        <v>93</v>
      </c>
      <c r="AG14" s="43" t="s">
        <v>94</v>
      </c>
      <c r="AH14" s="43" t="s">
        <v>95</v>
      </c>
      <c r="AI14" s="43" t="s">
        <v>96</v>
      </c>
    </row>
    <row r="15" spans="1:35" x14ac:dyDescent="0.25">
      <c r="A15" s="100"/>
      <c r="B15" s="25"/>
      <c r="C15" s="25"/>
      <c r="D15" s="101"/>
      <c r="E15" s="25"/>
      <c r="F15" s="102"/>
      <c r="G15" s="44"/>
      <c r="H15" s="101"/>
      <c r="I15" s="101"/>
      <c r="J15" s="101"/>
      <c r="K15" s="101"/>
      <c r="L15" s="103"/>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row>
    <row r="16" spans="1:35" x14ac:dyDescent="0.25">
      <c r="A16" s="100"/>
      <c r="B16" s="25"/>
      <c r="C16" s="25"/>
      <c r="D16" s="101"/>
      <c r="E16" s="25"/>
      <c r="F16" s="102"/>
      <c r="G16" s="44"/>
      <c r="H16" s="101"/>
      <c r="I16" s="104"/>
      <c r="J16" s="101"/>
      <c r="K16" s="101"/>
      <c r="L16" s="103"/>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row>
    <row r="17" spans="1:35" x14ac:dyDescent="0.25">
      <c r="A17" s="100"/>
      <c r="B17" s="25"/>
      <c r="C17" s="25"/>
      <c r="D17" s="101"/>
      <c r="E17" s="25"/>
      <c r="F17" s="102"/>
      <c r="G17" s="44"/>
      <c r="H17" s="101"/>
      <c r="I17" s="101"/>
      <c r="J17" s="101"/>
      <c r="K17" s="101"/>
      <c r="L17" s="103"/>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row>
    <row r="18" spans="1:35" x14ac:dyDescent="0.25">
      <c r="A18" s="100"/>
      <c r="B18" s="25"/>
      <c r="C18" s="25"/>
      <c r="D18" s="101"/>
      <c r="E18" s="25"/>
      <c r="F18" s="102"/>
      <c r="G18" s="44"/>
      <c r="H18" s="101"/>
      <c r="I18" s="101"/>
      <c r="J18" s="101"/>
      <c r="K18" s="101"/>
      <c r="L18" s="103"/>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row>
    <row r="19" spans="1:35" x14ac:dyDescent="0.25">
      <c r="A19" s="105"/>
      <c r="B19" s="25"/>
      <c r="C19" s="25"/>
      <c r="D19" s="101"/>
      <c r="E19" s="25"/>
      <c r="F19" s="102"/>
      <c r="G19" s="102"/>
      <c r="H19" s="101"/>
      <c r="I19" s="101"/>
      <c r="J19" s="101"/>
      <c r="K19" s="101"/>
      <c r="L19" s="103"/>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row>
    <row r="20" spans="1:35" x14ac:dyDescent="0.25">
      <c r="A20" s="105"/>
      <c r="B20" s="25"/>
      <c r="C20" s="25"/>
      <c r="D20" s="101"/>
      <c r="E20" s="25"/>
      <c r="F20" s="102"/>
      <c r="G20" s="102"/>
      <c r="H20" s="101"/>
      <c r="I20" s="101"/>
      <c r="J20" s="101"/>
      <c r="K20" s="101"/>
      <c r="L20" s="103"/>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row>
    <row r="21" spans="1:35" x14ac:dyDescent="0.25">
      <c r="A21" s="105"/>
      <c r="B21" s="25"/>
      <c r="C21" s="25"/>
      <c r="D21" s="101"/>
      <c r="E21" s="25"/>
      <c r="F21" s="44"/>
      <c r="G21" s="102"/>
      <c r="H21" s="101"/>
      <c r="I21" s="101"/>
      <c r="J21" s="101"/>
      <c r="K21" s="101"/>
      <c r="L21" s="103"/>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row>
    <row r="22" spans="1:35" x14ac:dyDescent="0.25">
      <c r="A22" s="105"/>
      <c r="B22" s="25"/>
      <c r="C22" s="25"/>
      <c r="D22" s="101"/>
      <c r="E22" s="25"/>
      <c r="F22" s="44"/>
      <c r="G22" s="102"/>
      <c r="H22" s="101"/>
      <c r="I22" s="101"/>
      <c r="J22" s="101"/>
      <c r="K22" s="101"/>
      <c r="L22" s="103"/>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row>
    <row r="23" spans="1:35" x14ac:dyDescent="0.25">
      <c r="A23" s="105"/>
      <c r="B23" s="25"/>
      <c r="C23" s="25"/>
      <c r="D23" s="101"/>
      <c r="E23" s="25"/>
      <c r="F23" s="44"/>
      <c r="G23" s="102"/>
      <c r="H23" s="101"/>
      <c r="I23" s="101"/>
      <c r="J23" s="101"/>
      <c r="K23" s="101"/>
      <c r="L23" s="103"/>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row>
    <row r="24" spans="1:35" x14ac:dyDescent="0.25">
      <c r="A24" s="105"/>
      <c r="B24" s="25"/>
      <c r="C24" s="25"/>
      <c r="D24" s="101"/>
      <c r="E24" s="25"/>
      <c r="F24" s="44"/>
      <c r="G24" s="102"/>
      <c r="H24" s="101"/>
      <c r="I24" s="101"/>
      <c r="J24" s="101"/>
      <c r="K24" s="101"/>
      <c r="L24" s="103"/>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row>
    <row r="25" spans="1:35" x14ac:dyDescent="0.25">
      <c r="A25" s="105"/>
      <c r="B25" s="25"/>
      <c r="C25" s="25"/>
      <c r="D25" s="101"/>
      <c r="E25" s="25"/>
      <c r="F25" s="44"/>
      <c r="G25" s="102"/>
      <c r="H25" s="101"/>
      <c r="I25" s="101"/>
      <c r="J25" s="101"/>
      <c r="K25" s="101"/>
      <c r="L25" s="103"/>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row>
    <row r="26" spans="1:35" x14ac:dyDescent="0.25">
      <c r="A26" s="105"/>
      <c r="B26" s="25"/>
      <c r="C26" s="25"/>
      <c r="D26" s="101"/>
      <c r="E26" s="25"/>
      <c r="F26" s="44"/>
      <c r="G26" s="102"/>
      <c r="H26" s="101"/>
      <c r="I26" s="101"/>
      <c r="J26" s="101"/>
      <c r="K26" s="101"/>
      <c r="L26" s="103"/>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row>
    <row r="27" spans="1:35" x14ac:dyDescent="0.25">
      <c r="A27" s="105"/>
      <c r="B27" s="25"/>
      <c r="C27" s="25"/>
      <c r="D27" s="101"/>
      <c r="E27" s="25"/>
      <c r="F27" s="44"/>
      <c r="G27" s="102"/>
      <c r="H27" s="101"/>
      <c r="I27" s="101"/>
      <c r="J27" s="101"/>
      <c r="K27" s="101"/>
      <c r="L27" s="103"/>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row>
    <row r="28" spans="1:35" x14ac:dyDescent="0.25">
      <c r="A28" s="105"/>
      <c r="B28" s="25"/>
      <c r="C28" s="25"/>
      <c r="D28" s="101"/>
      <c r="E28" s="25"/>
      <c r="F28" s="44"/>
      <c r="G28" s="102"/>
      <c r="H28" s="101"/>
      <c r="I28" s="101"/>
      <c r="J28" s="101"/>
      <c r="K28" s="101"/>
      <c r="L28" s="103"/>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row>
    <row r="29" spans="1:35" x14ac:dyDescent="0.25">
      <c r="A29" s="105"/>
      <c r="B29" s="25"/>
      <c r="C29" s="25"/>
      <c r="D29" s="101"/>
      <c r="E29" s="25"/>
      <c r="F29" s="44"/>
      <c r="G29" s="102"/>
      <c r="H29" s="101"/>
      <c r="I29" s="101"/>
      <c r="J29" s="101"/>
      <c r="K29" s="101"/>
      <c r="L29" s="103"/>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row>
    <row r="30" spans="1:35" x14ac:dyDescent="0.25">
      <c r="A30" s="105"/>
      <c r="B30" s="25"/>
      <c r="C30" s="25"/>
      <c r="D30" s="101"/>
      <c r="E30" s="25"/>
      <c r="F30" s="44"/>
      <c r="G30" s="102"/>
      <c r="H30" s="101"/>
      <c r="I30" s="101"/>
      <c r="J30" s="101"/>
      <c r="K30" s="101"/>
      <c r="L30" s="103"/>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row>
    <row r="31" spans="1:35" x14ac:dyDescent="0.25">
      <c r="A31" s="105"/>
      <c r="B31" s="25"/>
      <c r="C31" s="25"/>
      <c r="D31" s="101"/>
      <c r="E31" s="25"/>
      <c r="F31" s="44"/>
      <c r="G31" s="102"/>
      <c r="H31" s="101"/>
      <c r="I31" s="101"/>
      <c r="J31" s="101"/>
      <c r="K31" s="101"/>
      <c r="L31" s="103"/>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row>
    <row r="32" spans="1:35" x14ac:dyDescent="0.25">
      <c r="A32" s="105"/>
      <c r="B32" s="25"/>
      <c r="C32" s="25"/>
      <c r="D32" s="101"/>
      <c r="E32" s="25"/>
      <c r="F32" s="44"/>
      <c r="G32" s="102"/>
      <c r="H32" s="101"/>
      <c r="I32" s="101"/>
      <c r="J32" s="101"/>
      <c r="K32" s="101"/>
      <c r="L32" s="103"/>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row>
    <row r="33" spans="1:35" x14ac:dyDescent="0.25">
      <c r="A33" s="105"/>
      <c r="B33" s="25"/>
      <c r="C33" s="25"/>
      <c r="D33" s="101"/>
      <c r="E33" s="25"/>
      <c r="F33" s="44"/>
      <c r="G33" s="102"/>
      <c r="H33" s="101"/>
      <c r="I33" s="101"/>
      <c r="J33" s="101"/>
      <c r="K33" s="101"/>
      <c r="L33" s="103"/>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row>
    <row r="34" spans="1:35" x14ac:dyDescent="0.25">
      <c r="A34" s="105"/>
      <c r="B34" s="25"/>
      <c r="C34" s="25"/>
      <c r="D34" s="101"/>
      <c r="E34" s="25"/>
      <c r="F34" s="44"/>
      <c r="G34" s="102"/>
      <c r="H34" s="101"/>
      <c r="I34" s="101"/>
      <c r="J34" s="101"/>
      <c r="K34" s="101"/>
      <c r="L34" s="103"/>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row>
    <row r="35" spans="1:35" x14ac:dyDescent="0.25">
      <c r="A35" s="105"/>
      <c r="B35" s="25"/>
      <c r="C35" s="25"/>
      <c r="D35" s="101"/>
      <c r="E35" s="25"/>
      <c r="F35" s="44"/>
      <c r="G35" s="102"/>
      <c r="H35" s="101"/>
      <c r="I35" s="101"/>
      <c r="J35" s="101"/>
      <c r="K35" s="101"/>
      <c r="L35" s="103"/>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row>
    <row r="36" spans="1:35" x14ac:dyDescent="0.25">
      <c r="A36" s="105"/>
      <c r="B36" s="25"/>
      <c r="C36" s="25"/>
      <c r="D36" s="101"/>
      <c r="E36" s="25"/>
      <c r="F36" s="44"/>
      <c r="G36" s="102"/>
      <c r="H36" s="101"/>
      <c r="I36" s="101"/>
      <c r="J36" s="101"/>
      <c r="K36" s="101"/>
      <c r="L36" s="103"/>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1"/>
    </row>
    <row r="37" spans="1:35" x14ac:dyDescent="0.25">
      <c r="A37" s="105"/>
      <c r="B37" s="25"/>
      <c r="C37" s="25"/>
      <c r="D37" s="101"/>
      <c r="E37" s="25"/>
      <c r="F37" s="44"/>
      <c r="G37" s="102"/>
      <c r="H37" s="101"/>
      <c r="I37" s="101"/>
      <c r="J37" s="101"/>
      <c r="K37" s="101"/>
      <c r="L37" s="103"/>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row>
    <row r="38" spans="1:35" x14ac:dyDescent="0.25">
      <c r="A38" s="105"/>
      <c r="B38" s="25"/>
      <c r="C38" s="25"/>
      <c r="D38" s="101"/>
      <c r="E38" s="25"/>
      <c r="F38" s="44"/>
      <c r="G38" s="102"/>
      <c r="H38" s="101"/>
      <c r="I38" s="101"/>
      <c r="J38" s="101"/>
      <c r="K38" s="101"/>
      <c r="L38" s="103"/>
      <c r="M38" s="101"/>
      <c r="N38" s="101"/>
      <c r="O38" s="101"/>
      <c r="P38" s="101"/>
      <c r="Q38" s="101"/>
      <c r="R38" s="101"/>
      <c r="S38" s="101"/>
      <c r="T38" s="101"/>
      <c r="U38" s="101"/>
      <c r="V38" s="101"/>
      <c r="W38" s="101"/>
      <c r="X38" s="101"/>
      <c r="Y38" s="101"/>
      <c r="Z38" s="101"/>
      <c r="AA38" s="101"/>
      <c r="AB38" s="101"/>
      <c r="AC38" s="101"/>
      <c r="AD38" s="101"/>
      <c r="AE38" s="101"/>
      <c r="AF38" s="101"/>
      <c r="AG38" s="101"/>
      <c r="AH38" s="101"/>
      <c r="AI38" s="101"/>
    </row>
    <row r="39" spans="1:35" x14ac:dyDescent="0.25">
      <c r="A39" s="105"/>
      <c r="B39" s="25"/>
      <c r="C39" s="25"/>
      <c r="D39" s="101"/>
      <c r="E39" s="25"/>
      <c r="F39" s="44"/>
      <c r="G39" s="102"/>
      <c r="H39" s="101"/>
      <c r="I39" s="101"/>
      <c r="J39" s="101"/>
      <c r="K39" s="101"/>
      <c r="L39" s="103"/>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1"/>
    </row>
    <row r="40" spans="1:35" x14ac:dyDescent="0.25">
      <c r="A40" s="105"/>
      <c r="B40" s="25"/>
      <c r="C40" s="25"/>
      <c r="D40" s="101"/>
      <c r="E40" s="25"/>
      <c r="F40" s="44"/>
      <c r="G40" s="102"/>
      <c r="H40" s="101"/>
      <c r="I40" s="101"/>
      <c r="J40" s="101"/>
      <c r="K40" s="101"/>
      <c r="L40" s="103"/>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row>
    <row r="41" spans="1:35" x14ac:dyDescent="0.25">
      <c r="A41" s="105"/>
      <c r="B41" s="25"/>
      <c r="C41" s="25"/>
      <c r="D41" s="101"/>
      <c r="E41" s="25"/>
      <c r="F41" s="44"/>
      <c r="G41" s="102"/>
      <c r="H41" s="101"/>
      <c r="I41" s="101"/>
      <c r="J41" s="101"/>
      <c r="K41" s="101"/>
      <c r="L41" s="103"/>
      <c r="M41" s="101"/>
      <c r="N41" s="101"/>
      <c r="O41" s="101"/>
      <c r="P41" s="101"/>
      <c r="Q41" s="101"/>
      <c r="R41" s="101"/>
      <c r="S41" s="101"/>
      <c r="T41" s="101"/>
      <c r="U41" s="101"/>
      <c r="V41" s="101"/>
      <c r="W41" s="101"/>
      <c r="X41" s="101"/>
      <c r="Y41" s="101"/>
      <c r="Z41" s="101"/>
      <c r="AA41" s="101"/>
      <c r="AB41" s="101"/>
      <c r="AC41" s="101"/>
      <c r="AD41" s="101"/>
      <c r="AE41" s="101"/>
      <c r="AF41" s="101"/>
      <c r="AG41" s="101"/>
      <c r="AH41" s="101"/>
      <c r="AI41" s="101"/>
    </row>
    <row r="42" spans="1:35" x14ac:dyDescent="0.25">
      <c r="A42" s="105"/>
      <c r="B42" s="25"/>
      <c r="C42" s="25"/>
      <c r="D42" s="101"/>
      <c r="E42" s="25"/>
      <c r="F42" s="44"/>
      <c r="G42" s="102"/>
      <c r="H42" s="101"/>
      <c r="I42" s="101"/>
      <c r="J42" s="101"/>
      <c r="K42" s="101"/>
      <c r="L42" s="103"/>
      <c r="M42" s="101"/>
      <c r="N42" s="101"/>
      <c r="O42" s="101"/>
      <c r="P42" s="101"/>
      <c r="Q42" s="101"/>
      <c r="R42" s="101"/>
      <c r="S42" s="101"/>
      <c r="T42" s="101"/>
      <c r="U42" s="101"/>
      <c r="V42" s="101"/>
      <c r="W42" s="101"/>
      <c r="X42" s="101"/>
      <c r="Y42" s="101"/>
      <c r="Z42" s="101"/>
      <c r="AA42" s="101"/>
      <c r="AB42" s="101"/>
      <c r="AC42" s="101"/>
      <c r="AD42" s="101"/>
      <c r="AE42" s="101"/>
      <c r="AF42" s="101"/>
      <c r="AG42" s="101"/>
      <c r="AH42" s="101"/>
      <c r="AI42" s="101"/>
    </row>
    <row r="43" spans="1:35" x14ac:dyDescent="0.25">
      <c r="A43" s="105"/>
      <c r="B43" s="25"/>
      <c r="C43" s="25"/>
      <c r="D43" s="101"/>
      <c r="E43" s="25"/>
      <c r="F43" s="44"/>
      <c r="G43" s="102"/>
      <c r="H43" s="101"/>
      <c r="I43" s="101"/>
      <c r="J43" s="101"/>
      <c r="K43" s="101"/>
      <c r="L43" s="103"/>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row>
    <row r="44" spans="1:35" x14ac:dyDescent="0.25">
      <c r="A44" s="105"/>
      <c r="B44" s="25"/>
      <c r="C44" s="25"/>
      <c r="D44" s="101"/>
      <c r="E44" s="25"/>
      <c r="F44" s="44"/>
      <c r="G44" s="102"/>
      <c r="H44" s="101"/>
      <c r="I44" s="101"/>
      <c r="J44" s="101"/>
      <c r="K44" s="101"/>
      <c r="L44" s="103"/>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row>
    <row r="45" spans="1:35" x14ac:dyDescent="0.25">
      <c r="A45" s="105"/>
      <c r="B45" s="25"/>
      <c r="C45" s="25"/>
      <c r="D45" s="101"/>
      <c r="E45" s="25"/>
      <c r="F45" s="44"/>
      <c r="G45" s="102"/>
      <c r="H45" s="101"/>
      <c r="I45" s="101"/>
      <c r="J45" s="101"/>
      <c r="K45" s="101"/>
      <c r="L45" s="103"/>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row>
    <row r="46" spans="1:35" x14ac:dyDescent="0.25">
      <c r="A46" s="105"/>
      <c r="B46" s="25"/>
      <c r="C46" s="25"/>
      <c r="D46" s="101"/>
      <c r="E46" s="25"/>
      <c r="F46" s="44"/>
      <c r="G46" s="102"/>
      <c r="H46" s="101"/>
      <c r="I46" s="101"/>
      <c r="J46" s="101"/>
      <c r="K46" s="101"/>
      <c r="L46" s="103"/>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row>
    <row r="47" spans="1:35" x14ac:dyDescent="0.25">
      <c r="A47" s="105"/>
      <c r="B47" s="25"/>
      <c r="C47" s="25"/>
      <c r="D47" s="101"/>
      <c r="E47" s="25"/>
      <c r="F47" s="44"/>
      <c r="G47" s="102"/>
      <c r="H47" s="101"/>
      <c r="I47" s="101"/>
      <c r="J47" s="101"/>
      <c r="K47" s="101"/>
      <c r="L47" s="103"/>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row>
    <row r="48" spans="1:35" x14ac:dyDescent="0.25">
      <c r="A48" s="105"/>
      <c r="B48" s="25"/>
      <c r="C48" s="25"/>
      <c r="D48" s="101"/>
      <c r="E48" s="25"/>
      <c r="F48" s="44"/>
      <c r="G48" s="102"/>
      <c r="H48" s="101"/>
      <c r="I48" s="101"/>
      <c r="J48" s="101"/>
      <c r="K48" s="101"/>
      <c r="L48" s="103"/>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row>
    <row r="49" spans="1:35" x14ac:dyDescent="0.25">
      <c r="A49" s="105"/>
      <c r="B49" s="25"/>
      <c r="C49" s="25"/>
      <c r="D49" s="101"/>
      <c r="E49" s="25"/>
      <c r="F49" s="44"/>
      <c r="G49" s="102"/>
      <c r="H49" s="101"/>
      <c r="I49" s="101"/>
      <c r="J49" s="101"/>
      <c r="K49" s="101"/>
      <c r="L49" s="103"/>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row>
    <row r="50" spans="1:35" x14ac:dyDescent="0.25">
      <c r="A50" s="105"/>
      <c r="B50" s="25"/>
      <c r="C50" s="25"/>
      <c r="D50" s="101"/>
      <c r="E50" s="25"/>
      <c r="F50" s="44"/>
      <c r="G50" s="102"/>
      <c r="H50" s="101"/>
      <c r="I50" s="101"/>
      <c r="J50" s="101"/>
      <c r="K50" s="101"/>
      <c r="L50" s="103"/>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row>
    <row r="51" spans="1:35" x14ac:dyDescent="0.25">
      <c r="A51" s="105"/>
      <c r="B51" s="25"/>
      <c r="C51" s="25"/>
      <c r="D51" s="101"/>
      <c r="E51" s="25"/>
      <c r="F51" s="44"/>
      <c r="G51" s="102"/>
      <c r="H51" s="101"/>
      <c r="I51" s="101"/>
      <c r="J51" s="101"/>
      <c r="K51" s="101"/>
      <c r="L51" s="103"/>
      <c r="M51" s="101"/>
      <c r="N51" s="101"/>
      <c r="O51" s="101"/>
      <c r="P51" s="101"/>
      <c r="Q51" s="101"/>
      <c r="R51" s="101"/>
      <c r="S51" s="101"/>
      <c r="T51" s="101"/>
      <c r="U51" s="101"/>
      <c r="V51" s="101"/>
      <c r="W51" s="101"/>
      <c r="X51" s="101"/>
      <c r="Y51" s="101"/>
      <c r="Z51" s="101"/>
      <c r="AA51" s="101"/>
      <c r="AB51" s="101"/>
      <c r="AC51" s="101"/>
      <c r="AD51" s="101"/>
      <c r="AE51" s="101"/>
      <c r="AF51" s="101"/>
      <c r="AG51" s="101"/>
      <c r="AH51" s="101"/>
      <c r="AI51" s="101"/>
    </row>
    <row r="52" spans="1:35" x14ac:dyDescent="0.25">
      <c r="A52" s="105"/>
      <c r="B52" s="25"/>
      <c r="C52" s="25"/>
      <c r="D52" s="101"/>
      <c r="E52" s="25"/>
      <c r="F52" s="44"/>
      <c r="G52" s="102"/>
      <c r="H52" s="101"/>
      <c r="I52" s="101"/>
      <c r="J52" s="101"/>
      <c r="K52" s="101"/>
      <c r="L52" s="103"/>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row>
    <row r="53" spans="1:35" x14ac:dyDescent="0.25">
      <c r="A53" s="105"/>
      <c r="B53" s="25"/>
      <c r="C53" s="25"/>
      <c r="D53" s="101"/>
      <c r="E53" s="25"/>
      <c r="F53" s="44"/>
      <c r="G53" s="102"/>
      <c r="H53" s="101"/>
      <c r="I53" s="101"/>
      <c r="J53" s="101"/>
      <c r="K53" s="101"/>
      <c r="L53" s="103"/>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row>
    <row r="54" spans="1:35" x14ac:dyDescent="0.25">
      <c r="A54" s="105"/>
      <c r="B54" s="25"/>
      <c r="C54" s="25"/>
      <c r="D54" s="101"/>
      <c r="E54" s="25"/>
      <c r="F54" s="44"/>
      <c r="G54" s="102"/>
      <c r="H54" s="101"/>
      <c r="I54" s="101"/>
      <c r="J54" s="101"/>
      <c r="K54" s="101"/>
      <c r="L54" s="103"/>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row>
    <row r="55" spans="1:35" x14ac:dyDescent="0.25">
      <c r="A55" s="105"/>
      <c r="B55" s="25"/>
      <c r="C55" s="25"/>
      <c r="D55" s="101"/>
      <c r="E55" s="25"/>
      <c r="F55" s="44"/>
      <c r="G55" s="102"/>
      <c r="H55" s="101"/>
      <c r="I55" s="101"/>
      <c r="J55" s="101"/>
      <c r="K55" s="101"/>
      <c r="L55" s="103"/>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01"/>
    </row>
    <row r="56" spans="1:35" x14ac:dyDescent="0.25">
      <c r="A56" s="105"/>
      <c r="B56" s="25"/>
      <c r="C56" s="25"/>
      <c r="D56" s="101"/>
      <c r="E56" s="25"/>
      <c r="F56" s="44"/>
      <c r="G56" s="102"/>
      <c r="H56" s="101"/>
      <c r="I56" s="101"/>
      <c r="J56" s="101"/>
      <c r="K56" s="101"/>
      <c r="L56" s="103"/>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row>
    <row r="57" spans="1:35" x14ac:dyDescent="0.25">
      <c r="A57" s="105"/>
      <c r="B57" s="25"/>
      <c r="C57" s="25"/>
      <c r="D57" s="101"/>
      <c r="E57" s="25"/>
      <c r="F57" s="44"/>
      <c r="G57" s="102"/>
      <c r="H57" s="101"/>
      <c r="I57" s="101"/>
      <c r="J57" s="101"/>
      <c r="K57" s="101"/>
      <c r="L57" s="103"/>
      <c r="M57" s="101"/>
      <c r="N57" s="101"/>
      <c r="O57" s="101"/>
      <c r="P57" s="101"/>
      <c r="Q57" s="101"/>
      <c r="R57" s="101"/>
      <c r="S57" s="101"/>
      <c r="T57" s="101"/>
      <c r="U57" s="101"/>
      <c r="V57" s="101"/>
      <c r="W57" s="101"/>
      <c r="X57" s="101"/>
      <c r="Y57" s="101"/>
      <c r="Z57" s="101"/>
      <c r="AA57" s="101"/>
      <c r="AB57" s="101"/>
      <c r="AC57" s="101"/>
      <c r="AD57" s="101"/>
      <c r="AE57" s="101"/>
      <c r="AF57" s="101"/>
      <c r="AG57" s="101"/>
      <c r="AH57" s="101"/>
      <c r="AI57" s="101"/>
    </row>
    <row r="58" spans="1:35" x14ac:dyDescent="0.25">
      <c r="A58" s="105"/>
      <c r="B58" s="25"/>
      <c r="C58" s="25"/>
      <c r="D58" s="101"/>
      <c r="E58" s="25"/>
      <c r="F58" s="44"/>
      <c r="G58" s="102"/>
      <c r="H58" s="101"/>
      <c r="I58" s="101"/>
      <c r="J58" s="101"/>
      <c r="K58" s="101"/>
      <c r="L58" s="103"/>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row>
    <row r="59" spans="1:35" x14ac:dyDescent="0.25">
      <c r="A59" s="105"/>
      <c r="B59" s="25"/>
      <c r="C59" s="25"/>
      <c r="D59" s="101"/>
      <c r="E59" s="25"/>
      <c r="F59" s="44"/>
      <c r="G59" s="102"/>
      <c r="H59" s="101"/>
      <c r="I59" s="101"/>
      <c r="J59" s="101"/>
      <c r="K59" s="101"/>
      <c r="L59" s="103"/>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row>
    <row r="60" spans="1:35" x14ac:dyDescent="0.25">
      <c r="A60" s="105"/>
      <c r="B60" s="25"/>
      <c r="C60" s="25"/>
      <c r="D60" s="101"/>
      <c r="E60" s="25"/>
      <c r="F60" s="44"/>
      <c r="G60" s="102"/>
      <c r="H60" s="101"/>
      <c r="I60" s="101"/>
      <c r="J60" s="101"/>
      <c r="K60" s="101"/>
      <c r="L60" s="103"/>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row>
    <row r="61" spans="1:35" x14ac:dyDescent="0.25">
      <c r="A61" s="105"/>
      <c r="B61" s="25"/>
      <c r="C61" s="25"/>
      <c r="D61" s="101"/>
      <c r="E61" s="25"/>
      <c r="F61" s="44"/>
      <c r="G61" s="102"/>
      <c r="H61" s="101"/>
      <c r="I61" s="101"/>
      <c r="J61" s="101"/>
      <c r="K61" s="101"/>
      <c r="L61" s="103"/>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row>
    <row r="62" spans="1:35" x14ac:dyDescent="0.25">
      <c r="A62" s="105"/>
      <c r="B62" s="25"/>
      <c r="C62" s="25"/>
      <c r="D62" s="101"/>
      <c r="E62" s="25"/>
      <c r="F62" s="44"/>
      <c r="G62" s="102"/>
      <c r="H62" s="101"/>
      <c r="I62" s="101"/>
      <c r="J62" s="101"/>
      <c r="K62" s="101"/>
      <c r="L62" s="103"/>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row>
    <row r="63" spans="1:35" x14ac:dyDescent="0.25">
      <c r="A63" s="105"/>
      <c r="B63" s="25"/>
      <c r="C63" s="25"/>
      <c r="D63" s="101"/>
      <c r="E63" s="25"/>
      <c r="F63" s="44"/>
      <c r="G63" s="102"/>
      <c r="H63" s="101"/>
      <c r="I63" s="101"/>
      <c r="J63" s="101"/>
      <c r="K63" s="101"/>
      <c r="L63" s="103"/>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row>
    <row r="64" spans="1:35" x14ac:dyDescent="0.25">
      <c r="A64" s="105"/>
      <c r="B64" s="25"/>
      <c r="C64" s="25"/>
      <c r="D64" s="101"/>
      <c r="E64" s="25"/>
      <c r="F64" s="44"/>
      <c r="G64" s="102"/>
      <c r="H64" s="101"/>
      <c r="I64" s="101"/>
      <c r="J64" s="101"/>
      <c r="K64" s="101"/>
      <c r="L64" s="103"/>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row>
    <row r="65" spans="1:35" x14ac:dyDescent="0.25">
      <c r="A65" s="105"/>
      <c r="B65" s="25"/>
      <c r="C65" s="25"/>
      <c r="D65" s="101"/>
      <c r="E65" s="25"/>
      <c r="F65" s="44"/>
      <c r="G65" s="102"/>
      <c r="H65" s="101"/>
      <c r="I65" s="101"/>
      <c r="J65" s="101"/>
      <c r="K65" s="101"/>
      <c r="L65" s="103"/>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row>
    <row r="66" spans="1:35" x14ac:dyDescent="0.25">
      <c r="A66" s="105"/>
      <c r="B66" s="25"/>
      <c r="C66" s="25"/>
      <c r="D66" s="101"/>
      <c r="E66" s="25"/>
      <c r="F66" s="44"/>
      <c r="G66" s="102"/>
      <c r="H66" s="101"/>
      <c r="I66" s="101"/>
      <c r="J66" s="101"/>
      <c r="K66" s="101"/>
      <c r="L66" s="103"/>
      <c r="M66" s="101"/>
      <c r="N66" s="101"/>
      <c r="O66" s="101"/>
      <c r="P66" s="101"/>
      <c r="Q66" s="101"/>
      <c r="R66" s="101"/>
      <c r="S66" s="101"/>
      <c r="T66" s="101"/>
      <c r="U66" s="101"/>
      <c r="V66" s="101"/>
      <c r="W66" s="101"/>
      <c r="X66" s="101"/>
      <c r="Y66" s="101"/>
      <c r="Z66" s="101"/>
      <c r="AA66" s="101"/>
      <c r="AB66" s="101"/>
      <c r="AC66" s="101"/>
      <c r="AD66" s="101"/>
      <c r="AE66" s="101"/>
      <c r="AF66" s="101"/>
      <c r="AG66" s="101"/>
      <c r="AH66" s="101"/>
      <c r="AI66" s="101"/>
    </row>
    <row r="67" spans="1:35" x14ac:dyDescent="0.25">
      <c r="A67" s="105"/>
      <c r="B67" s="25"/>
      <c r="C67" s="25"/>
      <c r="D67" s="101"/>
      <c r="E67" s="25"/>
      <c r="F67" s="44"/>
      <c r="G67" s="102"/>
      <c r="H67" s="101"/>
      <c r="I67" s="101"/>
      <c r="J67" s="101"/>
      <c r="K67" s="101"/>
      <c r="L67" s="103"/>
      <c r="M67" s="101"/>
      <c r="N67" s="101"/>
      <c r="O67" s="101"/>
      <c r="P67" s="101"/>
      <c r="Q67" s="101"/>
      <c r="R67" s="101"/>
      <c r="S67" s="101"/>
      <c r="T67" s="101"/>
      <c r="U67" s="101"/>
      <c r="V67" s="101"/>
      <c r="W67" s="101"/>
      <c r="X67" s="101"/>
      <c r="Y67" s="101"/>
      <c r="Z67" s="101"/>
      <c r="AA67" s="101"/>
      <c r="AB67" s="101"/>
      <c r="AC67" s="101"/>
      <c r="AD67" s="101"/>
      <c r="AE67" s="101"/>
      <c r="AF67" s="101"/>
      <c r="AG67" s="101"/>
      <c r="AH67" s="101"/>
      <c r="AI67" s="101"/>
    </row>
    <row r="68" spans="1:35" x14ac:dyDescent="0.25">
      <c r="A68" s="105"/>
      <c r="B68" s="25"/>
      <c r="C68" s="25"/>
      <c r="D68" s="101"/>
      <c r="E68" s="25"/>
      <c r="F68" s="44"/>
      <c r="G68" s="102"/>
      <c r="H68" s="101"/>
      <c r="I68" s="101"/>
      <c r="J68" s="101"/>
      <c r="K68" s="101"/>
      <c r="L68" s="103"/>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row>
    <row r="69" spans="1:35" x14ac:dyDescent="0.25">
      <c r="A69" s="105"/>
      <c r="B69" s="25"/>
      <c r="C69" s="25"/>
      <c r="D69" s="101"/>
      <c r="E69" s="25"/>
      <c r="F69" s="44"/>
      <c r="G69" s="102"/>
      <c r="H69" s="101"/>
      <c r="I69" s="101"/>
      <c r="J69" s="101"/>
      <c r="K69" s="101"/>
      <c r="L69" s="103"/>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row>
    <row r="70" spans="1:35" x14ac:dyDescent="0.25">
      <c r="A70" s="105"/>
      <c r="B70" s="25"/>
      <c r="C70" s="25"/>
      <c r="D70" s="101"/>
      <c r="E70" s="25"/>
      <c r="F70" s="44"/>
      <c r="G70" s="102"/>
      <c r="H70" s="101"/>
      <c r="I70" s="101"/>
      <c r="J70" s="101"/>
      <c r="K70" s="101"/>
      <c r="L70" s="103"/>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row>
    <row r="71" spans="1:35" x14ac:dyDescent="0.25">
      <c r="A71" s="105"/>
      <c r="B71" s="25"/>
      <c r="C71" s="25"/>
      <c r="D71" s="101"/>
      <c r="E71" s="25"/>
      <c r="F71" s="44"/>
      <c r="G71" s="102"/>
      <c r="H71" s="101"/>
      <c r="I71" s="101"/>
      <c r="J71" s="101"/>
      <c r="K71" s="101"/>
      <c r="L71" s="103"/>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row>
    <row r="72" spans="1:35" x14ac:dyDescent="0.25">
      <c r="A72" s="105"/>
      <c r="B72" s="25"/>
      <c r="C72" s="25"/>
      <c r="D72" s="101"/>
      <c r="E72" s="25"/>
      <c r="F72" s="44"/>
      <c r="G72" s="102"/>
      <c r="H72" s="101"/>
      <c r="I72" s="101"/>
      <c r="J72" s="101"/>
      <c r="K72" s="101"/>
      <c r="L72" s="103"/>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01"/>
    </row>
    <row r="73" spans="1:35" x14ac:dyDescent="0.25">
      <c r="A73" s="105"/>
      <c r="B73" s="25"/>
      <c r="C73" s="25"/>
      <c r="D73" s="101"/>
      <c r="E73" s="25"/>
      <c r="F73" s="44"/>
      <c r="G73" s="102"/>
      <c r="H73" s="101"/>
      <c r="I73" s="101"/>
      <c r="J73" s="101"/>
      <c r="K73" s="101"/>
      <c r="L73" s="103"/>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row>
    <row r="74" spans="1:35" x14ac:dyDescent="0.25">
      <c r="A74" s="105"/>
      <c r="B74" s="25"/>
      <c r="C74" s="25"/>
      <c r="D74" s="101"/>
      <c r="E74" s="25"/>
      <c r="F74" s="44"/>
      <c r="G74" s="102"/>
      <c r="H74" s="101"/>
      <c r="I74" s="101"/>
      <c r="J74" s="101"/>
      <c r="K74" s="101"/>
      <c r="L74" s="103"/>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row>
    <row r="75" spans="1:35" x14ac:dyDescent="0.25">
      <c r="A75" s="105"/>
      <c r="B75" s="25"/>
      <c r="C75" s="25"/>
      <c r="D75" s="101"/>
      <c r="E75" s="25"/>
      <c r="F75" s="44"/>
      <c r="G75" s="102"/>
      <c r="H75" s="101"/>
      <c r="I75" s="101"/>
      <c r="J75" s="101"/>
      <c r="K75" s="101"/>
      <c r="L75" s="103"/>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row>
    <row r="76" spans="1:35" x14ac:dyDescent="0.25">
      <c r="A76" s="105"/>
      <c r="B76" s="25"/>
      <c r="C76" s="25"/>
      <c r="D76" s="101"/>
      <c r="E76" s="25"/>
      <c r="F76" s="44"/>
      <c r="G76" s="102"/>
      <c r="H76" s="101"/>
      <c r="I76" s="101"/>
      <c r="J76" s="101"/>
      <c r="K76" s="101"/>
      <c r="L76" s="103"/>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row>
    <row r="77" spans="1:35" x14ac:dyDescent="0.25">
      <c r="A77" s="105"/>
      <c r="B77" s="25"/>
      <c r="C77" s="25"/>
      <c r="D77" s="101"/>
      <c r="E77" s="25"/>
      <c r="F77" s="44"/>
      <c r="G77" s="102"/>
      <c r="H77" s="101"/>
      <c r="I77" s="101"/>
      <c r="J77" s="101"/>
      <c r="K77" s="101"/>
      <c r="L77" s="103"/>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row>
    <row r="78" spans="1:35" x14ac:dyDescent="0.25">
      <c r="A78" s="105"/>
      <c r="B78" s="25"/>
      <c r="C78" s="25"/>
      <c r="D78" s="101"/>
      <c r="E78" s="25"/>
      <c r="F78" s="44"/>
      <c r="G78" s="102"/>
      <c r="H78" s="101"/>
      <c r="I78" s="101"/>
      <c r="J78" s="101"/>
      <c r="K78" s="101"/>
      <c r="L78" s="103"/>
      <c r="M78" s="101"/>
      <c r="N78" s="101"/>
      <c r="O78" s="101"/>
      <c r="P78" s="101"/>
      <c r="Q78" s="101"/>
      <c r="R78" s="101"/>
      <c r="S78" s="101"/>
      <c r="T78" s="101"/>
      <c r="U78" s="101"/>
      <c r="V78" s="101"/>
      <c r="W78" s="101"/>
      <c r="X78" s="101"/>
      <c r="Y78" s="101"/>
      <c r="Z78" s="101"/>
      <c r="AA78" s="101"/>
      <c r="AB78" s="101"/>
      <c r="AC78" s="101"/>
      <c r="AD78" s="101"/>
      <c r="AE78" s="101"/>
      <c r="AF78" s="101"/>
      <c r="AG78" s="101"/>
      <c r="AH78" s="101"/>
      <c r="AI78" s="101"/>
    </row>
    <row r="79" spans="1:35" x14ac:dyDescent="0.25">
      <c r="A79" s="105"/>
      <c r="B79" s="25"/>
      <c r="C79" s="25"/>
      <c r="D79" s="101"/>
      <c r="E79" s="25"/>
      <c r="F79" s="44"/>
      <c r="G79" s="102"/>
      <c r="H79" s="101"/>
      <c r="I79" s="101"/>
      <c r="J79" s="101"/>
      <c r="K79" s="101"/>
      <c r="L79" s="103"/>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row>
    <row r="80" spans="1:35" x14ac:dyDescent="0.25">
      <c r="A80" s="105"/>
      <c r="B80" s="25"/>
      <c r="C80" s="25"/>
      <c r="D80" s="101"/>
      <c r="E80" s="25"/>
      <c r="F80" s="44"/>
      <c r="G80" s="102"/>
      <c r="H80" s="101"/>
      <c r="I80" s="101"/>
      <c r="J80" s="101"/>
      <c r="K80" s="101"/>
      <c r="L80" s="103"/>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row>
    <row r="81" spans="1:35" x14ac:dyDescent="0.25">
      <c r="A81" s="105"/>
      <c r="B81" s="25"/>
      <c r="C81" s="25"/>
      <c r="D81" s="101"/>
      <c r="E81" s="25"/>
      <c r="F81" s="44"/>
      <c r="G81" s="102"/>
      <c r="H81" s="101"/>
      <c r="I81" s="101"/>
      <c r="J81" s="101"/>
      <c r="K81" s="101"/>
      <c r="L81" s="103"/>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row>
    <row r="82" spans="1:35" x14ac:dyDescent="0.25">
      <c r="A82" s="105"/>
      <c r="B82" s="25"/>
      <c r="C82" s="25"/>
      <c r="D82" s="101"/>
      <c r="E82" s="25"/>
      <c r="F82" s="44"/>
      <c r="G82" s="102"/>
      <c r="H82" s="101"/>
      <c r="I82" s="101"/>
      <c r="J82" s="101"/>
      <c r="K82" s="101"/>
      <c r="L82" s="103"/>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row>
    <row r="83" spans="1:35" x14ac:dyDescent="0.25">
      <c r="A83" s="105"/>
      <c r="B83" s="25"/>
      <c r="C83" s="25"/>
      <c r="D83" s="101"/>
      <c r="E83" s="25"/>
      <c r="F83" s="44"/>
      <c r="G83" s="102"/>
      <c r="H83" s="101"/>
      <c r="I83" s="101"/>
      <c r="J83" s="101"/>
      <c r="K83" s="101"/>
      <c r="L83" s="103"/>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row>
    <row r="84" spans="1:35" x14ac:dyDescent="0.25">
      <c r="A84" s="105"/>
      <c r="B84" s="25"/>
      <c r="C84" s="25"/>
      <c r="D84" s="101"/>
      <c r="E84" s="25"/>
      <c r="F84" s="44"/>
      <c r="G84" s="102"/>
      <c r="H84" s="101"/>
      <c r="I84" s="101"/>
      <c r="J84" s="101"/>
      <c r="K84" s="101"/>
      <c r="L84" s="103"/>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row>
    <row r="85" spans="1:35" x14ac:dyDescent="0.25">
      <c r="A85" s="105"/>
      <c r="B85" s="25"/>
      <c r="C85" s="25"/>
      <c r="D85" s="101"/>
      <c r="E85" s="25"/>
      <c r="F85" s="44"/>
      <c r="G85" s="102"/>
      <c r="H85" s="101"/>
      <c r="I85" s="101"/>
      <c r="J85" s="101"/>
      <c r="K85" s="101"/>
      <c r="L85" s="103"/>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row>
    <row r="86" spans="1:35" x14ac:dyDescent="0.25">
      <c r="A86" s="105"/>
      <c r="B86" s="25"/>
      <c r="C86" s="25"/>
      <c r="D86" s="101"/>
      <c r="E86" s="25"/>
      <c r="F86" s="44"/>
      <c r="G86" s="102"/>
      <c r="H86" s="101"/>
      <c r="I86" s="101"/>
      <c r="J86" s="101"/>
      <c r="K86" s="101"/>
      <c r="L86" s="103"/>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row>
    <row r="87" spans="1:35" x14ac:dyDescent="0.25">
      <c r="A87" s="105"/>
      <c r="B87" s="25"/>
      <c r="C87" s="25"/>
      <c r="D87" s="101"/>
      <c r="E87" s="25"/>
      <c r="F87" s="44"/>
      <c r="G87" s="102"/>
      <c r="H87" s="101"/>
      <c r="I87" s="101"/>
      <c r="J87" s="101"/>
      <c r="K87" s="101"/>
      <c r="L87" s="103"/>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row>
    <row r="88" spans="1:35" x14ac:dyDescent="0.25">
      <c r="A88" s="105"/>
      <c r="B88" s="25"/>
      <c r="C88" s="25"/>
      <c r="D88" s="101"/>
      <c r="E88" s="25"/>
      <c r="F88" s="44"/>
      <c r="G88" s="102"/>
      <c r="H88" s="101"/>
      <c r="I88" s="101"/>
      <c r="J88" s="101"/>
      <c r="K88" s="101"/>
      <c r="L88" s="103"/>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row>
    <row r="89" spans="1:35" x14ac:dyDescent="0.25">
      <c r="A89" s="105"/>
      <c r="B89" s="25"/>
      <c r="C89" s="25"/>
      <c r="D89" s="101"/>
      <c r="E89" s="25"/>
      <c r="F89" s="44"/>
      <c r="G89" s="102"/>
      <c r="H89" s="101"/>
      <c r="I89" s="101"/>
      <c r="J89" s="101"/>
      <c r="K89" s="101"/>
      <c r="L89" s="103"/>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row>
    <row r="90" spans="1:35" x14ac:dyDescent="0.25">
      <c r="A90" s="105"/>
      <c r="B90" s="25"/>
      <c r="C90" s="25"/>
      <c r="D90" s="101"/>
      <c r="E90" s="25"/>
      <c r="F90" s="44"/>
      <c r="G90" s="102"/>
      <c r="H90" s="101"/>
      <c r="I90" s="101"/>
      <c r="J90" s="101"/>
      <c r="K90" s="101"/>
      <c r="L90" s="103"/>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row>
    <row r="91" spans="1:35" x14ac:dyDescent="0.25">
      <c r="A91" s="105"/>
      <c r="B91" s="25"/>
      <c r="C91" s="25"/>
      <c r="D91" s="101"/>
      <c r="E91" s="25"/>
      <c r="F91" s="44"/>
      <c r="G91" s="102"/>
      <c r="H91" s="101"/>
      <c r="I91" s="101"/>
      <c r="J91" s="101"/>
      <c r="K91" s="101"/>
      <c r="L91" s="103"/>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row>
    <row r="92" spans="1:35" x14ac:dyDescent="0.25">
      <c r="A92" s="105"/>
      <c r="B92" s="25"/>
      <c r="C92" s="25"/>
      <c r="D92" s="101"/>
      <c r="E92" s="25"/>
      <c r="F92" s="44"/>
      <c r="G92" s="102"/>
      <c r="H92" s="101"/>
      <c r="I92" s="101"/>
      <c r="J92" s="101"/>
      <c r="K92" s="101"/>
      <c r="L92" s="103"/>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row>
    <row r="93" spans="1:35" x14ac:dyDescent="0.25">
      <c r="A93" s="105"/>
      <c r="B93" s="25"/>
      <c r="C93" s="25"/>
      <c r="D93" s="101"/>
      <c r="E93" s="25"/>
      <c r="F93" s="44"/>
      <c r="G93" s="102"/>
      <c r="H93" s="101"/>
      <c r="I93" s="101"/>
      <c r="J93" s="101"/>
      <c r="K93" s="101"/>
      <c r="L93" s="103"/>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row>
    <row r="94" spans="1:35" x14ac:dyDescent="0.25">
      <c r="A94" s="105"/>
      <c r="B94" s="25"/>
      <c r="C94" s="25"/>
      <c r="D94" s="101"/>
      <c r="E94" s="25"/>
      <c r="F94" s="44"/>
      <c r="G94" s="102"/>
      <c r="H94" s="101"/>
      <c r="I94" s="101"/>
      <c r="J94" s="101"/>
      <c r="K94" s="101"/>
      <c r="L94" s="103"/>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row>
    <row r="95" spans="1:35" x14ac:dyDescent="0.25">
      <c r="A95" s="105"/>
      <c r="B95" s="25"/>
      <c r="C95" s="25"/>
      <c r="D95" s="101"/>
      <c r="E95" s="25"/>
      <c r="F95" s="44"/>
      <c r="G95" s="102"/>
      <c r="H95" s="101"/>
      <c r="I95" s="101"/>
      <c r="J95" s="101"/>
      <c r="K95" s="101"/>
      <c r="L95" s="103"/>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row>
    <row r="96" spans="1:35" x14ac:dyDescent="0.25">
      <c r="A96" s="105"/>
      <c r="B96" s="25"/>
      <c r="C96" s="25"/>
      <c r="D96" s="101"/>
      <c r="E96" s="25"/>
      <c r="F96" s="44"/>
      <c r="G96" s="102"/>
      <c r="H96" s="101"/>
      <c r="I96" s="101"/>
      <c r="J96" s="101"/>
      <c r="K96" s="101"/>
      <c r="L96" s="103"/>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row>
    <row r="97" spans="1:35" x14ac:dyDescent="0.25">
      <c r="A97" s="105"/>
      <c r="B97" s="25"/>
      <c r="C97" s="25"/>
      <c r="D97" s="101"/>
      <c r="E97" s="25"/>
      <c r="F97" s="44"/>
      <c r="G97" s="102"/>
      <c r="H97" s="101"/>
      <c r="I97" s="101"/>
      <c r="J97" s="101"/>
      <c r="K97" s="101"/>
      <c r="L97" s="103"/>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row>
    <row r="98" spans="1:35" x14ac:dyDescent="0.25">
      <c r="A98" s="105"/>
      <c r="B98" s="25"/>
      <c r="C98" s="25"/>
      <c r="D98" s="101"/>
      <c r="E98" s="25"/>
      <c r="F98" s="44"/>
      <c r="G98" s="102"/>
      <c r="H98" s="101"/>
      <c r="I98" s="101"/>
      <c r="J98" s="101"/>
      <c r="K98" s="101"/>
      <c r="L98" s="103"/>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row>
    <row r="99" spans="1:35" x14ac:dyDescent="0.25">
      <c r="A99" s="105"/>
      <c r="B99" s="25"/>
      <c r="C99" s="25"/>
      <c r="D99" s="101"/>
      <c r="E99" s="25"/>
      <c r="F99" s="44"/>
      <c r="G99" s="102"/>
      <c r="H99" s="101"/>
      <c r="I99" s="101"/>
      <c r="J99" s="101"/>
      <c r="K99" s="101"/>
      <c r="L99" s="103"/>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row>
    <row r="100" spans="1:35" x14ac:dyDescent="0.25">
      <c r="A100" s="105"/>
      <c r="B100" s="25"/>
      <c r="C100" s="25"/>
      <c r="D100" s="101"/>
      <c r="E100" s="25"/>
      <c r="F100" s="44"/>
      <c r="G100" s="102"/>
      <c r="H100" s="101"/>
      <c r="I100" s="101"/>
      <c r="J100" s="101"/>
      <c r="K100" s="101"/>
      <c r="L100" s="103"/>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row>
    <row r="101" spans="1:35" x14ac:dyDescent="0.25">
      <c r="A101" s="105"/>
      <c r="B101" s="25"/>
      <c r="C101" s="25"/>
      <c r="D101" s="101"/>
      <c r="E101" s="25"/>
      <c r="F101" s="44"/>
      <c r="G101" s="102"/>
      <c r="H101" s="101"/>
      <c r="I101" s="101"/>
      <c r="J101" s="101"/>
      <c r="K101" s="101"/>
      <c r="L101" s="103"/>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row>
    <row r="102" spans="1:35" x14ac:dyDescent="0.25">
      <c r="A102" s="105"/>
      <c r="B102" s="25"/>
      <c r="C102" s="25"/>
      <c r="D102" s="101"/>
      <c r="E102" s="25"/>
      <c r="F102" s="44"/>
      <c r="G102" s="102"/>
      <c r="H102" s="101"/>
      <c r="I102" s="101"/>
      <c r="J102" s="101"/>
      <c r="K102" s="101"/>
      <c r="L102" s="103"/>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row>
    <row r="103" spans="1:35" x14ac:dyDescent="0.25">
      <c r="A103" s="105"/>
      <c r="B103" s="25"/>
      <c r="C103" s="25"/>
      <c r="D103" s="101"/>
      <c r="E103" s="25"/>
      <c r="F103" s="44"/>
      <c r="G103" s="102"/>
      <c r="H103" s="101"/>
      <c r="I103" s="101"/>
      <c r="J103" s="101"/>
      <c r="K103" s="101"/>
      <c r="L103" s="103"/>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row>
    <row r="104" spans="1:35" x14ac:dyDescent="0.25">
      <c r="A104" s="105"/>
      <c r="B104" s="25"/>
      <c r="C104" s="25"/>
      <c r="D104" s="101"/>
      <c r="E104" s="25"/>
      <c r="F104" s="44"/>
      <c r="G104" s="102"/>
      <c r="H104" s="101"/>
      <c r="I104" s="101"/>
      <c r="J104" s="101"/>
      <c r="K104" s="101"/>
      <c r="L104" s="103"/>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row>
    <row r="105" spans="1:35" x14ac:dyDescent="0.25">
      <c r="A105" s="105"/>
      <c r="B105" s="25"/>
      <c r="C105" s="25"/>
      <c r="D105" s="101"/>
      <c r="E105" s="25"/>
      <c r="F105" s="44"/>
      <c r="G105" s="102"/>
      <c r="H105" s="101"/>
      <c r="I105" s="101"/>
      <c r="J105" s="101"/>
      <c r="K105" s="101"/>
      <c r="L105" s="103"/>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row>
    <row r="106" spans="1:35" x14ac:dyDescent="0.25">
      <c r="A106" s="105"/>
      <c r="B106" s="25"/>
      <c r="C106" s="25"/>
      <c r="D106" s="101"/>
      <c r="E106" s="25"/>
      <c r="F106" s="44"/>
      <c r="G106" s="102"/>
      <c r="H106" s="101"/>
      <c r="I106" s="101"/>
      <c r="J106" s="101"/>
      <c r="K106" s="101"/>
      <c r="L106" s="103"/>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row>
    <row r="107" spans="1:35" x14ac:dyDescent="0.25">
      <c r="A107" s="105"/>
      <c r="B107" s="25"/>
      <c r="C107" s="25"/>
      <c r="D107" s="101"/>
      <c r="E107" s="25"/>
      <c r="F107" s="44"/>
      <c r="G107" s="102"/>
      <c r="H107" s="101"/>
      <c r="I107" s="101"/>
      <c r="J107" s="101"/>
      <c r="K107" s="101"/>
      <c r="L107" s="103"/>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row>
    <row r="108" spans="1:35" x14ac:dyDescent="0.25">
      <c r="A108" s="105"/>
      <c r="B108" s="25"/>
      <c r="C108" s="25"/>
      <c r="D108" s="101"/>
      <c r="E108" s="25"/>
      <c r="F108" s="44"/>
      <c r="G108" s="102"/>
      <c r="H108" s="101"/>
      <c r="I108" s="101"/>
      <c r="J108" s="101"/>
      <c r="K108" s="101"/>
      <c r="L108" s="103"/>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row>
    <row r="109" spans="1:35" x14ac:dyDescent="0.25">
      <c r="A109" s="105"/>
      <c r="B109" s="25"/>
      <c r="C109" s="25"/>
      <c r="D109" s="101"/>
      <c r="E109" s="25"/>
      <c r="F109" s="44"/>
      <c r="G109" s="102"/>
      <c r="H109" s="101"/>
      <c r="I109" s="101"/>
      <c r="J109" s="101"/>
      <c r="K109" s="101"/>
      <c r="L109" s="103"/>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row>
    <row r="110" spans="1:35" x14ac:dyDescent="0.25">
      <c r="A110" s="105"/>
      <c r="B110" s="25"/>
      <c r="C110" s="25"/>
      <c r="D110" s="101"/>
      <c r="E110" s="25"/>
      <c r="F110" s="44"/>
      <c r="G110" s="102"/>
      <c r="H110" s="101"/>
      <c r="I110" s="101"/>
      <c r="J110" s="101"/>
      <c r="K110" s="101"/>
      <c r="L110" s="103"/>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row>
    <row r="111" spans="1:35" x14ac:dyDescent="0.25">
      <c r="A111" s="105"/>
      <c r="B111" s="25"/>
      <c r="C111" s="25"/>
      <c r="D111" s="101"/>
      <c r="E111" s="25"/>
      <c r="F111" s="44"/>
      <c r="G111" s="102"/>
      <c r="H111" s="101"/>
      <c r="I111" s="101"/>
      <c r="J111" s="101"/>
      <c r="K111" s="101"/>
      <c r="L111" s="103"/>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row>
    <row r="112" spans="1:35" x14ac:dyDescent="0.25">
      <c r="A112" s="105"/>
      <c r="B112" s="25"/>
      <c r="C112" s="25"/>
      <c r="D112" s="101"/>
      <c r="E112" s="25"/>
      <c r="F112" s="44"/>
      <c r="G112" s="102"/>
      <c r="H112" s="101"/>
      <c r="I112" s="101"/>
      <c r="J112" s="101"/>
      <c r="K112" s="101"/>
      <c r="L112" s="103"/>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row>
    <row r="113" spans="1:35" x14ac:dyDescent="0.25">
      <c r="A113" s="105"/>
      <c r="B113" s="25"/>
      <c r="C113" s="25"/>
      <c r="D113" s="101"/>
      <c r="E113" s="25"/>
      <c r="F113" s="44"/>
      <c r="G113" s="102"/>
      <c r="H113" s="101"/>
      <c r="I113" s="101"/>
      <c r="J113" s="101"/>
      <c r="K113" s="101"/>
      <c r="L113" s="103"/>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row>
    <row r="114" spans="1:35" x14ac:dyDescent="0.25">
      <c r="A114" s="105"/>
      <c r="B114" s="25"/>
      <c r="C114" s="25"/>
      <c r="D114" s="101"/>
      <c r="E114" s="25"/>
      <c r="F114" s="44"/>
      <c r="G114" s="102"/>
      <c r="H114" s="101"/>
      <c r="I114" s="101"/>
      <c r="J114" s="101"/>
      <c r="K114" s="101"/>
      <c r="L114" s="103"/>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row>
    <row r="115" spans="1:35" x14ac:dyDescent="0.25">
      <c r="A115" s="105"/>
      <c r="B115" s="25"/>
      <c r="C115" s="25"/>
      <c r="D115" s="101"/>
      <c r="E115" s="25"/>
      <c r="F115" s="44"/>
      <c r="G115" s="102"/>
      <c r="H115" s="101"/>
      <c r="I115" s="101"/>
      <c r="J115" s="101"/>
      <c r="K115" s="101"/>
      <c r="L115" s="103"/>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row>
    <row r="116" spans="1:35" x14ac:dyDescent="0.25">
      <c r="A116" s="105"/>
      <c r="B116" s="25"/>
      <c r="C116" s="25"/>
      <c r="D116" s="101"/>
      <c r="E116" s="25"/>
      <c r="F116" s="44"/>
      <c r="G116" s="102"/>
      <c r="H116" s="101"/>
      <c r="I116" s="101"/>
      <c r="J116" s="101"/>
      <c r="K116" s="101"/>
      <c r="L116" s="103"/>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row>
    <row r="117" spans="1:35" x14ac:dyDescent="0.25">
      <c r="A117" s="105"/>
      <c r="B117" s="25"/>
      <c r="C117" s="25"/>
      <c r="D117" s="101"/>
      <c r="E117" s="25"/>
      <c r="F117" s="44"/>
      <c r="G117" s="102"/>
      <c r="H117" s="101"/>
      <c r="I117" s="101"/>
      <c r="J117" s="101"/>
      <c r="K117" s="101"/>
      <c r="L117" s="103"/>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row>
    <row r="118" spans="1:35" x14ac:dyDescent="0.25">
      <c r="A118" s="105"/>
      <c r="B118" s="25"/>
      <c r="C118" s="25"/>
      <c r="D118" s="101"/>
      <c r="E118" s="25"/>
      <c r="F118" s="44"/>
      <c r="G118" s="102"/>
      <c r="H118" s="101"/>
      <c r="I118" s="101"/>
      <c r="J118" s="101"/>
      <c r="K118" s="101"/>
      <c r="L118" s="103"/>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row>
    <row r="119" spans="1:35" x14ac:dyDescent="0.25">
      <c r="A119" s="105"/>
      <c r="B119" s="25"/>
      <c r="C119" s="25"/>
      <c r="D119" s="101"/>
      <c r="E119" s="25"/>
      <c r="F119" s="44"/>
      <c r="G119" s="102"/>
      <c r="H119" s="101"/>
      <c r="I119" s="101"/>
      <c r="J119" s="101"/>
      <c r="K119" s="101"/>
      <c r="L119" s="103"/>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row>
    <row r="120" spans="1:35" x14ac:dyDescent="0.25">
      <c r="A120" s="105"/>
      <c r="B120" s="25"/>
      <c r="C120" s="25"/>
      <c r="D120" s="101"/>
      <c r="E120" s="25"/>
      <c r="F120" s="44"/>
      <c r="G120" s="102"/>
      <c r="H120" s="101"/>
      <c r="I120" s="101"/>
      <c r="J120" s="101"/>
      <c r="K120" s="101"/>
      <c r="L120" s="103"/>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row>
    <row r="121" spans="1:35" x14ac:dyDescent="0.25">
      <c r="A121" s="105"/>
      <c r="B121" s="25"/>
      <c r="C121" s="25"/>
      <c r="D121" s="101"/>
      <c r="E121" s="25"/>
      <c r="F121" s="44"/>
      <c r="G121" s="102"/>
      <c r="H121" s="101"/>
      <c r="I121" s="101"/>
      <c r="J121" s="101"/>
      <c r="K121" s="101"/>
      <c r="L121" s="103"/>
      <c r="M121" s="101"/>
      <c r="N121" s="101"/>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row>
    <row r="122" spans="1:35" x14ac:dyDescent="0.25">
      <c r="A122" s="105"/>
      <c r="B122" s="25"/>
      <c r="C122" s="25"/>
      <c r="D122" s="101"/>
      <c r="E122" s="25"/>
      <c r="F122" s="44"/>
      <c r="G122" s="102"/>
      <c r="H122" s="101"/>
      <c r="I122" s="101"/>
      <c r="J122" s="101"/>
      <c r="K122" s="101"/>
      <c r="L122" s="103"/>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row>
    <row r="123" spans="1:35" x14ac:dyDescent="0.25">
      <c r="A123" s="105"/>
      <c r="B123" s="25"/>
      <c r="C123" s="25"/>
      <c r="D123" s="101"/>
      <c r="E123" s="25"/>
      <c r="F123" s="44"/>
      <c r="G123" s="102"/>
      <c r="H123" s="101"/>
      <c r="I123" s="101"/>
      <c r="J123" s="101"/>
      <c r="K123" s="101"/>
      <c r="L123" s="103"/>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row>
    <row r="124" spans="1:35" x14ac:dyDescent="0.25">
      <c r="A124" s="105"/>
      <c r="B124" s="25"/>
      <c r="C124" s="25"/>
      <c r="D124" s="101"/>
      <c r="E124" s="25"/>
      <c r="F124" s="44"/>
      <c r="G124" s="102"/>
      <c r="H124" s="101"/>
      <c r="I124" s="101"/>
      <c r="J124" s="101"/>
      <c r="K124" s="101"/>
      <c r="L124" s="103"/>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row>
    <row r="125" spans="1:35" x14ac:dyDescent="0.25">
      <c r="A125" s="105"/>
      <c r="B125" s="25"/>
      <c r="C125" s="25"/>
      <c r="D125" s="101"/>
      <c r="E125" s="25"/>
      <c r="F125" s="44"/>
      <c r="G125" s="102"/>
      <c r="H125" s="101"/>
      <c r="I125" s="101"/>
      <c r="J125" s="101"/>
      <c r="K125" s="101"/>
      <c r="L125" s="103"/>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row>
    <row r="126" spans="1:35" x14ac:dyDescent="0.25">
      <c r="A126" s="105"/>
      <c r="B126" s="25"/>
      <c r="C126" s="25"/>
      <c r="D126" s="101"/>
      <c r="E126" s="25"/>
      <c r="F126" s="44"/>
      <c r="G126" s="102"/>
      <c r="H126" s="101"/>
      <c r="I126" s="101"/>
      <c r="J126" s="101"/>
      <c r="K126" s="101"/>
      <c r="L126" s="103"/>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row>
    <row r="127" spans="1:35" x14ac:dyDescent="0.25">
      <c r="A127" s="105"/>
      <c r="B127" s="25"/>
      <c r="C127" s="25"/>
      <c r="D127" s="101"/>
      <c r="E127" s="25"/>
      <c r="F127" s="44"/>
      <c r="G127" s="102"/>
      <c r="H127" s="101"/>
      <c r="I127" s="101"/>
      <c r="J127" s="101"/>
      <c r="K127" s="101"/>
      <c r="L127" s="103"/>
      <c r="M127" s="101"/>
      <c r="N127" s="101"/>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row>
    <row r="128" spans="1:35" x14ac:dyDescent="0.25">
      <c r="A128" s="105"/>
      <c r="B128" s="25"/>
      <c r="C128" s="25"/>
      <c r="D128" s="101"/>
      <c r="E128" s="25"/>
      <c r="F128" s="44"/>
      <c r="G128" s="102"/>
      <c r="H128" s="101"/>
      <c r="I128" s="101"/>
      <c r="J128" s="101"/>
      <c r="K128" s="101"/>
      <c r="L128" s="103"/>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row>
    <row r="129" spans="1:35" x14ac:dyDescent="0.25">
      <c r="A129" s="105"/>
      <c r="B129" s="25"/>
      <c r="C129" s="25"/>
      <c r="D129" s="101"/>
      <c r="E129" s="25"/>
      <c r="F129" s="44"/>
      <c r="G129" s="102"/>
      <c r="H129" s="101"/>
      <c r="I129" s="101"/>
      <c r="J129" s="101"/>
      <c r="K129" s="101"/>
      <c r="L129" s="103"/>
      <c r="M129" s="101"/>
      <c r="N129" s="101"/>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row>
    <row r="130" spans="1:35" x14ac:dyDescent="0.25">
      <c r="A130" s="105"/>
      <c r="B130" s="25"/>
      <c r="C130" s="25"/>
      <c r="D130" s="101"/>
      <c r="E130" s="25"/>
      <c r="F130" s="44"/>
      <c r="G130" s="102"/>
      <c r="H130" s="101"/>
      <c r="I130" s="101"/>
      <c r="J130" s="101"/>
      <c r="K130" s="101"/>
      <c r="L130" s="103"/>
      <c r="M130" s="101"/>
      <c r="N130" s="101"/>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row>
    <row r="131" spans="1:35" x14ac:dyDescent="0.25">
      <c r="A131" s="105"/>
      <c r="B131" s="25"/>
      <c r="C131" s="25"/>
      <c r="D131" s="101"/>
      <c r="E131" s="25"/>
      <c r="F131" s="44"/>
      <c r="G131" s="102"/>
      <c r="H131" s="101"/>
      <c r="I131" s="101"/>
      <c r="J131" s="101"/>
      <c r="K131" s="101"/>
      <c r="L131" s="103"/>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row>
    <row r="132" spans="1:35" x14ac:dyDescent="0.25">
      <c r="A132" s="105"/>
      <c r="B132" s="25"/>
      <c r="C132" s="25"/>
      <c r="D132" s="101"/>
      <c r="E132" s="25"/>
      <c r="F132" s="44"/>
      <c r="G132" s="102"/>
      <c r="H132" s="101"/>
      <c r="I132" s="101"/>
      <c r="J132" s="101"/>
      <c r="K132" s="101"/>
      <c r="L132" s="103"/>
      <c r="M132" s="101"/>
      <c r="N132" s="101"/>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row>
    <row r="133" spans="1:35" x14ac:dyDescent="0.25">
      <c r="A133" s="105"/>
      <c r="B133" s="25"/>
      <c r="C133" s="25"/>
      <c r="D133" s="101"/>
      <c r="E133" s="25"/>
      <c r="F133" s="44"/>
      <c r="G133" s="102"/>
      <c r="H133" s="101"/>
      <c r="I133" s="101"/>
      <c r="J133" s="101"/>
      <c r="K133" s="101"/>
      <c r="L133" s="103"/>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row>
    <row r="134" spans="1:35" x14ac:dyDescent="0.25">
      <c r="A134" s="105"/>
      <c r="B134" s="25"/>
      <c r="C134" s="25"/>
      <c r="D134" s="101"/>
      <c r="E134" s="25"/>
      <c r="F134" s="44"/>
      <c r="G134" s="102"/>
      <c r="H134" s="101"/>
      <c r="I134" s="101"/>
      <c r="J134" s="101"/>
      <c r="K134" s="101"/>
      <c r="L134" s="103"/>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row>
    <row r="135" spans="1:35" x14ac:dyDescent="0.25">
      <c r="A135" s="105"/>
      <c r="B135" s="25"/>
      <c r="C135" s="25"/>
      <c r="D135" s="101"/>
      <c r="E135" s="25"/>
      <c r="F135" s="44"/>
      <c r="G135" s="102"/>
      <c r="H135" s="101"/>
      <c r="I135" s="101"/>
      <c r="J135" s="101"/>
      <c r="K135" s="101"/>
      <c r="L135" s="103"/>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row>
    <row r="136" spans="1:35" x14ac:dyDescent="0.25">
      <c r="A136" s="105"/>
      <c r="B136" s="25"/>
      <c r="C136" s="25"/>
      <c r="D136" s="101"/>
      <c r="E136" s="25"/>
      <c r="F136" s="44"/>
      <c r="G136" s="102"/>
      <c r="H136" s="101"/>
      <c r="I136" s="101"/>
      <c r="J136" s="101"/>
      <c r="K136" s="101"/>
      <c r="L136" s="103"/>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row>
    <row r="137" spans="1:35" x14ac:dyDescent="0.25">
      <c r="A137" s="105"/>
      <c r="B137" s="25"/>
      <c r="C137" s="25"/>
      <c r="D137" s="101"/>
      <c r="E137" s="25"/>
      <c r="F137" s="44"/>
      <c r="G137" s="102"/>
      <c r="H137" s="101"/>
      <c r="I137" s="101"/>
      <c r="J137" s="101"/>
      <c r="K137" s="101"/>
      <c r="L137" s="103"/>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row>
    <row r="138" spans="1:35" x14ac:dyDescent="0.25">
      <c r="A138" s="105"/>
      <c r="B138" s="25"/>
      <c r="C138" s="25"/>
      <c r="D138" s="101"/>
      <c r="E138" s="25"/>
      <c r="F138" s="44"/>
      <c r="G138" s="102"/>
      <c r="H138" s="101"/>
      <c r="I138" s="101"/>
      <c r="J138" s="101"/>
      <c r="K138" s="101"/>
      <c r="L138" s="103"/>
      <c r="M138" s="101"/>
      <c r="N138" s="101"/>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row>
    <row r="139" spans="1:35" x14ac:dyDescent="0.25">
      <c r="A139" s="105"/>
      <c r="B139" s="25"/>
      <c r="C139" s="25"/>
      <c r="D139" s="101"/>
      <c r="E139" s="25"/>
      <c r="F139" s="44"/>
      <c r="G139" s="102"/>
      <c r="H139" s="101"/>
      <c r="I139" s="101"/>
      <c r="J139" s="101"/>
      <c r="K139" s="101"/>
      <c r="L139" s="103"/>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row>
    <row r="140" spans="1:35" x14ac:dyDescent="0.25">
      <c r="A140" s="105"/>
      <c r="B140" s="25"/>
      <c r="C140" s="25"/>
      <c r="D140" s="101"/>
      <c r="E140" s="25"/>
      <c r="F140" s="44"/>
      <c r="G140" s="102"/>
      <c r="H140" s="101"/>
      <c r="I140" s="101"/>
      <c r="J140" s="101"/>
      <c r="K140" s="101"/>
      <c r="L140" s="103"/>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row>
    <row r="141" spans="1:35" x14ac:dyDescent="0.25">
      <c r="A141" s="105"/>
      <c r="B141" s="25"/>
      <c r="C141" s="25"/>
      <c r="D141" s="101"/>
      <c r="E141" s="25"/>
      <c r="F141" s="44"/>
      <c r="G141" s="102"/>
      <c r="H141" s="101"/>
      <c r="I141" s="101"/>
      <c r="J141" s="101"/>
      <c r="K141" s="101"/>
      <c r="L141" s="103"/>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row>
    <row r="142" spans="1:35" x14ac:dyDescent="0.25">
      <c r="A142" s="105"/>
      <c r="B142" s="25"/>
      <c r="C142" s="25"/>
      <c r="D142" s="101"/>
      <c r="E142" s="25"/>
      <c r="F142" s="44"/>
      <c r="G142" s="102"/>
      <c r="H142" s="101"/>
      <c r="I142" s="101"/>
      <c r="J142" s="101"/>
      <c r="K142" s="101"/>
      <c r="L142" s="103"/>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row>
    <row r="143" spans="1:35" x14ac:dyDescent="0.25">
      <c r="A143" s="105"/>
      <c r="B143" s="25"/>
      <c r="C143" s="25"/>
      <c r="D143" s="101"/>
      <c r="E143" s="25"/>
      <c r="F143" s="44"/>
      <c r="G143" s="102"/>
      <c r="H143" s="101"/>
      <c r="I143" s="101"/>
      <c r="J143" s="101"/>
      <c r="K143" s="101"/>
      <c r="L143" s="103"/>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row>
    <row r="144" spans="1:35" x14ac:dyDescent="0.25">
      <c r="A144" s="105"/>
      <c r="B144" s="25"/>
      <c r="C144" s="25"/>
      <c r="D144" s="101"/>
      <c r="E144" s="25"/>
      <c r="F144" s="44"/>
      <c r="G144" s="102"/>
      <c r="H144" s="101"/>
      <c r="I144" s="101"/>
      <c r="J144" s="101"/>
      <c r="K144" s="101"/>
      <c r="L144" s="103"/>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row>
    <row r="145" spans="1:35" x14ac:dyDescent="0.25">
      <c r="A145" s="105"/>
      <c r="B145" s="25"/>
      <c r="C145" s="25"/>
      <c r="D145" s="101"/>
      <c r="E145" s="25"/>
      <c r="F145" s="44"/>
      <c r="G145" s="102"/>
      <c r="H145" s="101"/>
      <c r="I145" s="101"/>
      <c r="J145" s="101"/>
      <c r="K145" s="101"/>
      <c r="L145" s="103"/>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row>
    <row r="146" spans="1:35" x14ac:dyDescent="0.25">
      <c r="A146" s="105"/>
      <c r="B146" s="25"/>
      <c r="C146" s="25"/>
      <c r="D146" s="101"/>
      <c r="E146" s="25"/>
      <c r="F146" s="44"/>
      <c r="G146" s="102"/>
      <c r="H146" s="101"/>
      <c r="I146" s="101"/>
      <c r="J146" s="101"/>
      <c r="K146" s="101"/>
      <c r="L146" s="103"/>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row>
    <row r="147" spans="1:35" x14ac:dyDescent="0.25">
      <c r="A147" s="105"/>
      <c r="B147" s="25"/>
      <c r="C147" s="25"/>
      <c r="D147" s="101"/>
      <c r="E147" s="25"/>
      <c r="F147" s="44"/>
      <c r="G147" s="102"/>
      <c r="H147" s="101"/>
      <c r="I147" s="101"/>
      <c r="J147" s="101"/>
      <c r="K147" s="101"/>
      <c r="L147" s="103"/>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row>
    <row r="148" spans="1:35" x14ac:dyDescent="0.25">
      <c r="A148" s="105"/>
      <c r="B148" s="25"/>
      <c r="C148" s="25"/>
      <c r="D148" s="101"/>
      <c r="E148" s="25"/>
      <c r="F148" s="44"/>
      <c r="G148" s="102"/>
      <c r="H148" s="101"/>
      <c r="I148" s="101"/>
      <c r="J148" s="101"/>
      <c r="K148" s="101"/>
      <c r="L148" s="103"/>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row>
    <row r="149" spans="1:35" x14ac:dyDescent="0.25">
      <c r="A149" s="105"/>
      <c r="B149" s="25"/>
      <c r="C149" s="25"/>
      <c r="D149" s="101"/>
      <c r="E149" s="25"/>
      <c r="F149" s="44"/>
      <c r="G149" s="102"/>
      <c r="H149" s="101"/>
      <c r="I149" s="101"/>
      <c r="J149" s="101"/>
      <c r="K149" s="101"/>
      <c r="L149" s="103"/>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row>
    <row r="150" spans="1:35" x14ac:dyDescent="0.25">
      <c r="A150" s="105"/>
      <c r="B150" s="25"/>
      <c r="C150" s="25"/>
      <c r="D150" s="101"/>
      <c r="E150" s="25"/>
      <c r="F150" s="44"/>
      <c r="G150" s="102"/>
      <c r="H150" s="101"/>
      <c r="I150" s="101"/>
      <c r="J150" s="101"/>
      <c r="K150" s="101"/>
      <c r="L150" s="103"/>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row>
    <row r="151" spans="1:35" x14ac:dyDescent="0.25">
      <c r="A151" s="105"/>
      <c r="B151" s="25"/>
      <c r="C151" s="25"/>
      <c r="D151" s="101"/>
      <c r="E151" s="25"/>
      <c r="F151" s="44"/>
      <c r="G151" s="102"/>
      <c r="H151" s="101"/>
      <c r="I151" s="101"/>
      <c r="J151" s="101"/>
      <c r="K151" s="101"/>
      <c r="L151" s="103"/>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row>
    <row r="152" spans="1:35" x14ac:dyDescent="0.25">
      <c r="A152" s="105"/>
      <c r="B152" s="25"/>
      <c r="C152" s="25"/>
      <c r="D152" s="101"/>
      <c r="E152" s="25"/>
      <c r="F152" s="44"/>
      <c r="G152" s="102"/>
      <c r="H152" s="101"/>
      <c r="I152" s="101"/>
      <c r="J152" s="101"/>
      <c r="K152" s="101"/>
      <c r="L152" s="103"/>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row>
    <row r="153" spans="1:35" x14ac:dyDescent="0.25">
      <c r="A153" s="105"/>
      <c r="B153" s="25"/>
      <c r="C153" s="25"/>
      <c r="D153" s="101"/>
      <c r="E153" s="25"/>
      <c r="F153" s="44"/>
      <c r="G153" s="102"/>
      <c r="H153" s="101"/>
      <c r="I153" s="101"/>
      <c r="J153" s="101"/>
      <c r="K153" s="101"/>
      <c r="L153" s="103"/>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row>
    <row r="154" spans="1:35" x14ac:dyDescent="0.25">
      <c r="A154" s="105"/>
      <c r="B154" s="25"/>
      <c r="C154" s="25"/>
      <c r="D154" s="101"/>
      <c r="E154" s="25"/>
      <c r="F154" s="44"/>
      <c r="G154" s="102"/>
      <c r="H154" s="101"/>
      <c r="I154" s="101"/>
      <c r="J154" s="101"/>
      <c r="K154" s="101"/>
      <c r="L154" s="103"/>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row>
    <row r="155" spans="1:35" x14ac:dyDescent="0.25">
      <c r="A155" s="105"/>
      <c r="B155" s="25"/>
      <c r="C155" s="25"/>
      <c r="D155" s="101"/>
      <c r="E155" s="25"/>
      <c r="F155" s="44"/>
      <c r="G155" s="102"/>
      <c r="H155" s="101"/>
      <c r="I155" s="101"/>
      <c r="J155" s="101"/>
      <c r="K155" s="101"/>
      <c r="L155" s="103"/>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row>
    <row r="156" spans="1:35" x14ac:dyDescent="0.25">
      <c r="A156" s="105"/>
      <c r="B156" s="25"/>
      <c r="C156" s="25"/>
      <c r="D156" s="101"/>
      <c r="E156" s="25"/>
      <c r="F156" s="44"/>
      <c r="G156" s="102"/>
      <c r="H156" s="101"/>
      <c r="I156" s="101"/>
      <c r="J156" s="101"/>
      <c r="K156" s="101"/>
      <c r="L156" s="103"/>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row>
    <row r="157" spans="1:35" x14ac:dyDescent="0.25">
      <c r="A157" s="105"/>
      <c r="B157" s="25"/>
      <c r="C157" s="25"/>
      <c r="D157" s="101"/>
      <c r="E157" s="25"/>
      <c r="F157" s="44"/>
      <c r="G157" s="102"/>
      <c r="H157" s="101"/>
      <c r="I157" s="101"/>
      <c r="J157" s="101"/>
      <c r="K157" s="101"/>
      <c r="L157" s="103"/>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101"/>
      <c r="AI157" s="101"/>
    </row>
    <row r="158" spans="1:35" x14ac:dyDescent="0.25">
      <c r="A158" s="105"/>
      <c r="B158" s="25"/>
      <c r="C158" s="25"/>
      <c r="D158" s="101"/>
      <c r="E158" s="25"/>
      <c r="F158" s="44"/>
      <c r="G158" s="102"/>
      <c r="H158" s="101"/>
      <c r="I158" s="101"/>
      <c r="J158" s="101"/>
      <c r="K158" s="101"/>
      <c r="L158" s="103"/>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row>
    <row r="159" spans="1:35" x14ac:dyDescent="0.25">
      <c r="A159" s="105"/>
      <c r="B159" s="25"/>
      <c r="C159" s="25"/>
      <c r="D159" s="101"/>
      <c r="E159" s="25"/>
      <c r="F159" s="44"/>
      <c r="G159" s="102"/>
      <c r="H159" s="101"/>
      <c r="I159" s="101"/>
      <c r="J159" s="101"/>
      <c r="K159" s="101"/>
      <c r="L159" s="103"/>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row>
    <row r="160" spans="1:35" x14ac:dyDescent="0.25">
      <c r="A160" s="105"/>
      <c r="B160" s="25"/>
      <c r="C160" s="25"/>
      <c r="D160" s="101"/>
      <c r="E160" s="25"/>
      <c r="F160" s="44"/>
      <c r="G160" s="102"/>
      <c r="H160" s="101"/>
      <c r="I160" s="101"/>
      <c r="J160" s="101"/>
      <c r="K160" s="101"/>
      <c r="L160" s="103"/>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row>
    <row r="161" spans="1:35" x14ac:dyDescent="0.25">
      <c r="A161" s="105"/>
      <c r="B161" s="25"/>
      <c r="C161" s="25"/>
      <c r="D161" s="101"/>
      <c r="E161" s="25"/>
      <c r="F161" s="44"/>
      <c r="G161" s="102"/>
      <c r="H161" s="101"/>
      <c r="I161" s="101"/>
      <c r="J161" s="101"/>
      <c r="K161" s="101"/>
      <c r="L161" s="103"/>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row>
    <row r="162" spans="1:35" x14ac:dyDescent="0.25">
      <c r="A162" s="105"/>
      <c r="B162" s="25"/>
      <c r="C162" s="25"/>
      <c r="D162" s="101"/>
      <c r="E162" s="25"/>
      <c r="F162" s="44"/>
      <c r="G162" s="102"/>
      <c r="H162" s="101"/>
      <c r="I162" s="101"/>
      <c r="J162" s="101"/>
      <c r="K162" s="101"/>
      <c r="L162" s="103"/>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row>
    <row r="163" spans="1:35" x14ac:dyDescent="0.25">
      <c r="A163" s="105"/>
      <c r="B163" s="25"/>
      <c r="C163" s="25"/>
      <c r="D163" s="101"/>
      <c r="E163" s="25"/>
      <c r="F163" s="44"/>
      <c r="G163" s="102"/>
      <c r="H163" s="101"/>
      <c r="I163" s="101"/>
      <c r="J163" s="101"/>
      <c r="K163" s="101"/>
      <c r="L163" s="103"/>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row>
    <row r="164" spans="1:35" x14ac:dyDescent="0.25">
      <c r="A164" s="105"/>
      <c r="B164" s="25"/>
      <c r="C164" s="25"/>
      <c r="D164" s="101"/>
      <c r="E164" s="25"/>
      <c r="F164" s="44"/>
      <c r="G164" s="102"/>
      <c r="H164" s="101"/>
      <c r="I164" s="101"/>
      <c r="J164" s="101"/>
      <c r="K164" s="101"/>
      <c r="L164" s="103"/>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row>
    <row r="165" spans="1:35" x14ac:dyDescent="0.25">
      <c r="A165" s="105"/>
      <c r="B165" s="25"/>
      <c r="C165" s="25"/>
      <c r="D165" s="101"/>
      <c r="E165" s="25"/>
      <c r="F165" s="44"/>
      <c r="G165" s="102"/>
      <c r="H165" s="101"/>
      <c r="I165" s="101"/>
      <c r="J165" s="101"/>
      <c r="K165" s="101"/>
      <c r="L165" s="103"/>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row>
    <row r="166" spans="1:35" x14ac:dyDescent="0.25">
      <c r="A166" s="105"/>
      <c r="B166" s="25"/>
      <c r="C166" s="25"/>
      <c r="D166" s="101"/>
      <c r="E166" s="25"/>
      <c r="F166" s="44"/>
      <c r="G166" s="102"/>
      <c r="H166" s="101"/>
      <c r="I166" s="101"/>
      <c r="J166" s="101"/>
      <c r="K166" s="101"/>
      <c r="L166" s="103"/>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row>
    <row r="167" spans="1:35" x14ac:dyDescent="0.25">
      <c r="A167" s="105"/>
      <c r="B167" s="25"/>
      <c r="C167" s="25"/>
      <c r="D167" s="101"/>
      <c r="E167" s="25"/>
      <c r="F167" s="44"/>
      <c r="G167" s="102"/>
      <c r="H167" s="101"/>
      <c r="I167" s="101"/>
      <c r="J167" s="101"/>
      <c r="K167" s="101"/>
      <c r="L167" s="103"/>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row>
    <row r="168" spans="1:35" x14ac:dyDescent="0.25">
      <c r="A168" s="105"/>
      <c r="B168" s="25"/>
      <c r="C168" s="25"/>
      <c r="D168" s="101"/>
      <c r="E168" s="25"/>
      <c r="F168" s="44"/>
      <c r="G168" s="102"/>
      <c r="H168" s="101"/>
      <c r="I168" s="101"/>
      <c r="J168" s="101"/>
      <c r="K168" s="101"/>
      <c r="L168" s="103"/>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row>
    <row r="169" spans="1:35" x14ac:dyDescent="0.25">
      <c r="A169" s="105"/>
      <c r="B169" s="25"/>
      <c r="C169" s="25"/>
      <c r="D169" s="101"/>
      <c r="E169" s="25"/>
      <c r="F169" s="44"/>
      <c r="G169" s="102"/>
      <c r="H169" s="101"/>
      <c r="I169" s="101"/>
      <c r="J169" s="101"/>
      <c r="K169" s="101"/>
      <c r="L169" s="103"/>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row>
    <row r="170" spans="1:35" x14ac:dyDescent="0.25">
      <c r="A170" s="105"/>
      <c r="B170" s="25"/>
      <c r="C170" s="25"/>
      <c r="D170" s="101"/>
      <c r="E170" s="25"/>
      <c r="F170" s="44"/>
      <c r="G170" s="102"/>
      <c r="H170" s="101"/>
      <c r="I170" s="101"/>
      <c r="J170" s="101"/>
      <c r="K170" s="101"/>
      <c r="L170" s="103"/>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row>
    <row r="171" spans="1:35" x14ac:dyDescent="0.25">
      <c r="A171" s="105"/>
      <c r="B171" s="25"/>
      <c r="C171" s="25"/>
      <c r="D171" s="101"/>
      <c r="E171" s="25"/>
      <c r="F171" s="44"/>
      <c r="G171" s="102"/>
      <c r="H171" s="101"/>
      <c r="I171" s="101"/>
      <c r="J171" s="101"/>
      <c r="K171" s="101"/>
      <c r="L171" s="103"/>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row>
    <row r="172" spans="1:35" x14ac:dyDescent="0.25">
      <c r="A172" s="105"/>
      <c r="B172" s="25"/>
      <c r="C172" s="25"/>
      <c r="D172" s="101"/>
      <c r="E172" s="25"/>
      <c r="F172" s="44"/>
      <c r="G172" s="102"/>
      <c r="H172" s="101"/>
      <c r="I172" s="101"/>
      <c r="J172" s="101"/>
      <c r="K172" s="101"/>
      <c r="L172" s="103"/>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row>
    <row r="173" spans="1:35" x14ac:dyDescent="0.25">
      <c r="A173" s="105"/>
      <c r="B173" s="25"/>
      <c r="C173" s="25"/>
      <c r="D173" s="101"/>
      <c r="E173" s="25"/>
      <c r="F173" s="44"/>
      <c r="G173" s="102"/>
      <c r="H173" s="101"/>
      <c r="I173" s="101"/>
      <c r="J173" s="101"/>
      <c r="K173" s="101"/>
      <c r="L173" s="103"/>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row>
    <row r="174" spans="1:35" x14ac:dyDescent="0.25">
      <c r="A174" s="105"/>
      <c r="B174" s="25"/>
      <c r="C174" s="25"/>
      <c r="D174" s="101"/>
      <c r="E174" s="25"/>
      <c r="F174" s="44"/>
      <c r="G174" s="102"/>
      <c r="H174" s="101"/>
      <c r="I174" s="101"/>
      <c r="J174" s="101"/>
      <c r="K174" s="101"/>
      <c r="L174" s="103"/>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row>
    <row r="175" spans="1:35" x14ac:dyDescent="0.25">
      <c r="A175" s="105"/>
      <c r="B175" s="25"/>
      <c r="C175" s="25"/>
      <c r="D175" s="101"/>
      <c r="E175" s="25"/>
      <c r="F175" s="44"/>
      <c r="G175" s="102"/>
      <c r="H175" s="101"/>
      <c r="I175" s="101"/>
      <c r="J175" s="101"/>
      <c r="K175" s="101"/>
      <c r="L175" s="103"/>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row>
    <row r="176" spans="1:35" x14ac:dyDescent="0.25">
      <c r="A176" s="105"/>
      <c r="B176" s="25"/>
      <c r="C176" s="25"/>
      <c r="D176" s="101"/>
      <c r="E176" s="25"/>
      <c r="F176" s="44"/>
      <c r="G176" s="102"/>
      <c r="H176" s="101"/>
      <c r="I176" s="101"/>
      <c r="J176" s="101"/>
      <c r="K176" s="101"/>
      <c r="L176" s="103"/>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row>
    <row r="177" spans="1:35" x14ac:dyDescent="0.25">
      <c r="A177" s="105"/>
      <c r="B177" s="25"/>
      <c r="C177" s="25"/>
      <c r="D177" s="101"/>
      <c r="E177" s="25"/>
      <c r="F177" s="44"/>
      <c r="G177" s="102"/>
      <c r="H177" s="101"/>
      <c r="I177" s="101"/>
      <c r="J177" s="101"/>
      <c r="K177" s="101"/>
      <c r="L177" s="103"/>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row>
    <row r="178" spans="1:35" x14ac:dyDescent="0.25">
      <c r="A178" s="105"/>
      <c r="B178" s="25"/>
      <c r="C178" s="25"/>
      <c r="D178" s="101"/>
      <c r="E178" s="25"/>
      <c r="F178" s="44"/>
      <c r="G178" s="102"/>
      <c r="H178" s="101"/>
      <c r="I178" s="101"/>
      <c r="J178" s="101"/>
      <c r="K178" s="101"/>
      <c r="L178" s="103"/>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row>
    <row r="179" spans="1:35" x14ac:dyDescent="0.25">
      <c r="A179" s="105"/>
      <c r="B179" s="25"/>
      <c r="C179" s="25"/>
      <c r="D179" s="101"/>
      <c r="E179" s="25"/>
      <c r="F179" s="44"/>
      <c r="G179" s="102"/>
      <c r="H179" s="101"/>
      <c r="I179" s="101"/>
      <c r="J179" s="101"/>
      <c r="K179" s="101"/>
      <c r="L179" s="103"/>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row>
    <row r="180" spans="1:35" x14ac:dyDescent="0.25">
      <c r="A180" s="105"/>
      <c r="B180" s="25"/>
      <c r="C180" s="25"/>
      <c r="D180" s="101"/>
      <c r="E180" s="25"/>
      <c r="F180" s="44"/>
      <c r="G180" s="102"/>
      <c r="H180" s="101"/>
      <c r="I180" s="101"/>
      <c r="J180" s="101"/>
      <c r="K180" s="101"/>
      <c r="L180" s="103"/>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row>
    <row r="181" spans="1:35" x14ac:dyDescent="0.25">
      <c r="A181" s="105"/>
      <c r="B181" s="25"/>
      <c r="C181" s="25"/>
      <c r="D181" s="101"/>
      <c r="E181" s="25"/>
      <c r="F181" s="44"/>
      <c r="G181" s="102"/>
      <c r="H181" s="101"/>
      <c r="I181" s="101"/>
      <c r="J181" s="101"/>
      <c r="K181" s="101"/>
      <c r="L181" s="103"/>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row>
    <row r="182" spans="1:35" x14ac:dyDescent="0.25">
      <c r="A182" s="105"/>
      <c r="B182" s="25"/>
      <c r="C182" s="25"/>
      <c r="D182" s="101"/>
      <c r="E182" s="25"/>
      <c r="F182" s="44"/>
      <c r="G182" s="102"/>
      <c r="H182" s="101"/>
      <c r="I182" s="101"/>
      <c r="J182" s="101"/>
      <c r="K182" s="101"/>
      <c r="L182" s="103"/>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row>
    <row r="183" spans="1:35" x14ac:dyDescent="0.25">
      <c r="A183" s="105"/>
      <c r="B183" s="25"/>
      <c r="C183" s="25"/>
      <c r="D183" s="101"/>
      <c r="E183" s="25"/>
      <c r="F183" s="44"/>
      <c r="G183" s="102"/>
      <c r="H183" s="101"/>
      <c r="I183" s="101"/>
      <c r="J183" s="101"/>
      <c r="K183" s="101"/>
      <c r="L183" s="103"/>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row>
    <row r="184" spans="1:35" x14ac:dyDescent="0.25">
      <c r="A184" s="105"/>
      <c r="B184" s="25"/>
      <c r="C184" s="25"/>
      <c r="D184" s="101"/>
      <c r="E184" s="25"/>
      <c r="F184" s="44"/>
      <c r="G184" s="102"/>
      <c r="H184" s="101"/>
      <c r="I184" s="101"/>
      <c r="J184" s="101"/>
      <c r="K184" s="101"/>
      <c r="L184" s="103"/>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row>
    <row r="185" spans="1:35" x14ac:dyDescent="0.25">
      <c r="A185" s="105"/>
      <c r="B185" s="25"/>
      <c r="C185" s="25"/>
      <c r="D185" s="101"/>
      <c r="E185" s="25"/>
      <c r="F185" s="44"/>
      <c r="G185" s="102"/>
      <c r="H185" s="101"/>
      <c r="I185" s="101"/>
      <c r="J185" s="101"/>
      <c r="K185" s="101"/>
      <c r="L185" s="103"/>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row>
    <row r="186" spans="1:35" x14ac:dyDescent="0.25">
      <c r="A186" s="105"/>
      <c r="B186" s="25"/>
      <c r="C186" s="25"/>
      <c r="D186" s="101"/>
      <c r="E186" s="25"/>
      <c r="F186" s="44"/>
      <c r="G186" s="102"/>
      <c r="H186" s="101"/>
      <c r="I186" s="101"/>
      <c r="J186" s="101"/>
      <c r="K186" s="101"/>
      <c r="L186" s="103"/>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row>
    <row r="187" spans="1:35" x14ac:dyDescent="0.25">
      <c r="A187" s="105"/>
      <c r="B187" s="25"/>
      <c r="C187" s="25"/>
      <c r="D187" s="101"/>
      <c r="E187" s="25"/>
      <c r="F187" s="44"/>
      <c r="G187" s="102"/>
      <c r="H187" s="101"/>
      <c r="I187" s="101"/>
      <c r="J187" s="101"/>
      <c r="K187" s="101"/>
      <c r="L187" s="103"/>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row>
    <row r="188" spans="1:35" x14ac:dyDescent="0.25">
      <c r="A188" s="105"/>
      <c r="B188" s="25"/>
      <c r="C188" s="25"/>
      <c r="D188" s="101"/>
      <c r="E188" s="25"/>
      <c r="F188" s="44"/>
      <c r="G188" s="102"/>
      <c r="H188" s="101"/>
      <c r="I188" s="101"/>
      <c r="J188" s="101"/>
      <c r="K188" s="101"/>
      <c r="L188" s="103"/>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row>
    <row r="189" spans="1:35" x14ac:dyDescent="0.25">
      <c r="A189" s="105"/>
      <c r="B189" s="25"/>
      <c r="C189" s="25"/>
      <c r="D189" s="101"/>
      <c r="E189" s="25"/>
      <c r="F189" s="44"/>
      <c r="G189" s="102"/>
      <c r="H189" s="101"/>
      <c r="I189" s="101"/>
      <c r="J189" s="101"/>
      <c r="K189" s="101"/>
      <c r="L189" s="103"/>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row>
    <row r="190" spans="1:35" x14ac:dyDescent="0.25">
      <c r="A190" s="105"/>
      <c r="B190" s="25"/>
      <c r="C190" s="25"/>
      <c r="D190" s="101"/>
      <c r="E190" s="25"/>
      <c r="F190" s="44"/>
      <c r="G190" s="102"/>
      <c r="H190" s="101"/>
      <c r="I190" s="101"/>
      <c r="J190" s="101"/>
      <c r="K190" s="101"/>
      <c r="L190" s="103"/>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row>
    <row r="191" spans="1:35" x14ac:dyDescent="0.25">
      <c r="A191" s="105"/>
      <c r="B191" s="25"/>
      <c r="C191" s="25"/>
      <c r="D191" s="101"/>
      <c r="E191" s="25"/>
      <c r="F191" s="44"/>
      <c r="G191" s="102"/>
      <c r="H191" s="101"/>
      <c r="I191" s="101"/>
      <c r="J191" s="101"/>
      <c r="K191" s="101"/>
      <c r="L191" s="103"/>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row>
    <row r="192" spans="1:35" x14ac:dyDescent="0.25">
      <c r="A192" s="105"/>
      <c r="B192" s="25"/>
      <c r="C192" s="25"/>
      <c r="D192" s="101"/>
      <c r="E192" s="25"/>
      <c r="F192" s="44"/>
      <c r="G192" s="102"/>
      <c r="H192" s="101"/>
      <c r="I192" s="101"/>
      <c r="J192" s="101"/>
      <c r="K192" s="101"/>
      <c r="L192" s="103"/>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row>
    <row r="193" spans="1:35" x14ac:dyDescent="0.25">
      <c r="A193" s="105"/>
      <c r="B193" s="25"/>
      <c r="C193" s="25"/>
      <c r="D193" s="101"/>
      <c r="E193" s="25"/>
      <c r="F193" s="44"/>
      <c r="G193" s="102"/>
      <c r="H193" s="101"/>
      <c r="I193" s="101"/>
      <c r="J193" s="101"/>
      <c r="K193" s="101"/>
      <c r="L193" s="103"/>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row>
    <row r="194" spans="1:35" x14ac:dyDescent="0.25">
      <c r="A194" s="105"/>
      <c r="B194" s="25"/>
      <c r="C194" s="25"/>
      <c r="D194" s="101"/>
      <c r="E194" s="25"/>
      <c r="F194" s="44"/>
      <c r="G194" s="102"/>
      <c r="H194" s="101"/>
      <c r="I194" s="101"/>
      <c r="J194" s="101"/>
      <c r="K194" s="101"/>
      <c r="L194" s="103"/>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row>
    <row r="195" spans="1:35" x14ac:dyDescent="0.25">
      <c r="A195" s="105"/>
      <c r="B195" s="25"/>
      <c r="C195" s="25"/>
      <c r="D195" s="101"/>
      <c r="E195" s="25"/>
      <c r="F195" s="44"/>
      <c r="G195" s="102"/>
      <c r="H195" s="101"/>
      <c r="I195" s="101"/>
      <c r="J195" s="101"/>
      <c r="K195" s="101"/>
      <c r="L195" s="103"/>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row>
    <row r="196" spans="1:35" x14ac:dyDescent="0.25">
      <c r="A196" s="105"/>
      <c r="B196" s="25"/>
      <c r="C196" s="25"/>
      <c r="D196" s="101"/>
      <c r="E196" s="25"/>
      <c r="F196" s="44"/>
      <c r="G196" s="102"/>
      <c r="H196" s="101"/>
      <c r="I196" s="101"/>
      <c r="J196" s="101"/>
      <c r="K196" s="101"/>
      <c r="L196" s="103"/>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row>
    <row r="197" spans="1:35" x14ac:dyDescent="0.25">
      <c r="A197" s="105"/>
      <c r="B197" s="25"/>
      <c r="C197" s="25"/>
      <c r="D197" s="101"/>
      <c r="E197" s="25"/>
      <c r="F197" s="44"/>
      <c r="G197" s="102"/>
      <c r="H197" s="101"/>
      <c r="I197" s="101"/>
      <c r="J197" s="101"/>
      <c r="K197" s="101"/>
      <c r="L197" s="103"/>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row>
    <row r="198" spans="1:35" x14ac:dyDescent="0.25">
      <c r="A198" s="105"/>
      <c r="B198" s="25"/>
      <c r="C198" s="25"/>
      <c r="D198" s="101"/>
      <c r="E198" s="25"/>
      <c r="F198" s="44"/>
      <c r="G198" s="102"/>
      <c r="H198" s="101"/>
      <c r="I198" s="101"/>
      <c r="J198" s="101"/>
      <c r="K198" s="101"/>
      <c r="L198" s="103"/>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row>
    <row r="199" spans="1:35" x14ac:dyDescent="0.25">
      <c r="A199" s="105"/>
      <c r="B199" s="25"/>
      <c r="C199" s="25"/>
      <c r="D199" s="101"/>
      <c r="E199" s="25"/>
      <c r="F199" s="44"/>
      <c r="G199" s="102"/>
      <c r="H199" s="101"/>
      <c r="I199" s="101"/>
      <c r="J199" s="101"/>
      <c r="K199" s="101"/>
      <c r="L199" s="103"/>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row>
    <row r="200" spans="1:35" x14ac:dyDescent="0.25">
      <c r="A200" s="105"/>
      <c r="B200" s="25"/>
      <c r="C200" s="25"/>
      <c r="D200" s="101"/>
      <c r="E200" s="25"/>
      <c r="F200" s="44"/>
      <c r="G200" s="102"/>
      <c r="H200" s="101"/>
      <c r="I200" s="101"/>
      <c r="J200" s="101"/>
      <c r="K200" s="101"/>
      <c r="L200" s="103"/>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row>
    <row r="201" spans="1:35" x14ac:dyDescent="0.25">
      <c r="A201" s="105"/>
      <c r="B201" s="25"/>
      <c r="C201" s="25"/>
      <c r="D201" s="101"/>
      <c r="E201" s="25"/>
      <c r="F201" s="44"/>
      <c r="G201" s="102"/>
      <c r="H201" s="101"/>
      <c r="I201" s="101"/>
      <c r="J201" s="101"/>
      <c r="K201" s="101"/>
      <c r="L201" s="103"/>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row>
    <row r="202" spans="1:35" x14ac:dyDescent="0.25">
      <c r="A202" s="105"/>
      <c r="B202" s="25"/>
      <c r="C202" s="25"/>
      <c r="D202" s="101"/>
      <c r="E202" s="25"/>
      <c r="F202" s="44"/>
      <c r="G202" s="102"/>
      <c r="H202" s="101"/>
      <c r="I202" s="101"/>
      <c r="J202" s="101"/>
      <c r="K202" s="101"/>
      <c r="L202" s="103"/>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row>
    <row r="203" spans="1:35" x14ac:dyDescent="0.25">
      <c r="A203" s="105"/>
      <c r="B203" s="25"/>
      <c r="C203" s="25"/>
      <c r="D203" s="101"/>
      <c r="E203" s="25"/>
      <c r="F203" s="44"/>
      <c r="G203" s="102"/>
      <c r="H203" s="101"/>
      <c r="I203" s="101"/>
      <c r="J203" s="101"/>
      <c r="K203" s="101"/>
      <c r="L203" s="103"/>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row>
    <row r="204" spans="1:35" x14ac:dyDescent="0.25">
      <c r="A204" s="105"/>
      <c r="B204" s="25"/>
      <c r="C204" s="25"/>
      <c r="D204" s="101"/>
      <c r="E204" s="25"/>
      <c r="F204" s="44"/>
      <c r="G204" s="102"/>
      <c r="H204" s="101"/>
      <c r="I204" s="101"/>
      <c r="J204" s="101"/>
      <c r="K204" s="101"/>
      <c r="L204" s="103"/>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row>
    <row r="205" spans="1:35" x14ac:dyDescent="0.25">
      <c r="A205" s="105"/>
      <c r="B205" s="25"/>
      <c r="C205" s="25"/>
      <c r="D205" s="101"/>
      <c r="E205" s="25"/>
      <c r="F205" s="44"/>
      <c r="G205" s="102"/>
      <c r="H205" s="101"/>
      <c r="I205" s="101"/>
      <c r="J205" s="101"/>
      <c r="K205" s="101"/>
      <c r="L205" s="103"/>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row>
    <row r="206" spans="1:35" x14ac:dyDescent="0.25">
      <c r="A206" s="105"/>
      <c r="B206" s="25"/>
      <c r="C206" s="25"/>
      <c r="D206" s="101"/>
      <c r="E206" s="25"/>
      <c r="F206" s="44"/>
      <c r="G206" s="102"/>
      <c r="H206" s="101"/>
      <c r="I206" s="101"/>
      <c r="J206" s="101"/>
      <c r="K206" s="101"/>
      <c r="L206" s="103"/>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row>
    <row r="207" spans="1:35" x14ac:dyDescent="0.25">
      <c r="A207" s="105"/>
      <c r="B207" s="25"/>
      <c r="C207" s="25"/>
      <c r="D207" s="101"/>
      <c r="E207" s="25"/>
      <c r="F207" s="44"/>
      <c r="G207" s="102"/>
      <c r="H207" s="101"/>
      <c r="I207" s="101"/>
      <c r="J207" s="101"/>
      <c r="K207" s="101"/>
      <c r="L207" s="103"/>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row>
    <row r="208" spans="1:35" x14ac:dyDescent="0.25">
      <c r="A208" s="105"/>
      <c r="B208" s="25"/>
      <c r="C208" s="25"/>
      <c r="D208" s="101"/>
      <c r="E208" s="25"/>
      <c r="F208" s="44"/>
      <c r="G208" s="102"/>
      <c r="H208" s="101"/>
      <c r="I208" s="101"/>
      <c r="J208" s="101"/>
      <c r="K208" s="101"/>
      <c r="L208" s="103"/>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row>
    <row r="209" spans="1:35" x14ac:dyDescent="0.25">
      <c r="A209" s="105"/>
      <c r="B209" s="25"/>
      <c r="C209" s="25"/>
      <c r="D209" s="101"/>
      <c r="E209" s="25"/>
      <c r="F209" s="44"/>
      <c r="G209" s="102"/>
      <c r="H209" s="101"/>
      <c r="I209" s="101"/>
      <c r="J209" s="101"/>
      <c r="K209" s="101"/>
      <c r="L209" s="103"/>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row>
    <row r="210" spans="1:35" x14ac:dyDescent="0.25">
      <c r="A210" s="105"/>
      <c r="B210" s="25"/>
      <c r="C210" s="25"/>
      <c r="D210" s="101"/>
      <c r="E210" s="25"/>
      <c r="F210" s="44"/>
      <c r="G210" s="102"/>
      <c r="H210" s="101"/>
      <c r="I210" s="101"/>
      <c r="J210" s="101"/>
      <c r="K210" s="101"/>
      <c r="L210" s="103"/>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row>
    <row r="211" spans="1:35" x14ac:dyDescent="0.25">
      <c r="A211" s="105"/>
      <c r="B211" s="25"/>
      <c r="C211" s="25"/>
      <c r="D211" s="101"/>
      <c r="E211" s="25"/>
      <c r="F211" s="44"/>
      <c r="G211" s="102"/>
      <c r="H211" s="101"/>
      <c r="I211" s="101"/>
      <c r="J211" s="101"/>
      <c r="K211" s="101"/>
      <c r="L211" s="103"/>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row>
    <row r="212" spans="1:35" x14ac:dyDescent="0.25">
      <c r="A212" s="105"/>
      <c r="B212" s="25"/>
      <c r="C212" s="25"/>
      <c r="D212" s="101"/>
      <c r="E212" s="25"/>
      <c r="F212" s="44"/>
      <c r="G212" s="102"/>
      <c r="H212" s="101"/>
      <c r="I212" s="101"/>
      <c r="J212" s="101"/>
      <c r="K212" s="101"/>
      <c r="L212" s="103"/>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row>
    <row r="213" spans="1:35" x14ac:dyDescent="0.25">
      <c r="A213" s="105"/>
      <c r="B213" s="25"/>
      <c r="C213" s="25"/>
      <c r="D213" s="101"/>
      <c r="E213" s="25"/>
      <c r="F213" s="44"/>
      <c r="G213" s="102"/>
      <c r="H213" s="101"/>
      <c r="I213" s="101"/>
      <c r="J213" s="101"/>
      <c r="K213" s="101"/>
      <c r="L213" s="103"/>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row>
    <row r="214" spans="1:35" x14ac:dyDescent="0.25">
      <c r="A214" s="105"/>
      <c r="B214" s="25"/>
      <c r="C214" s="25"/>
      <c r="D214" s="101"/>
      <c r="E214" s="25"/>
      <c r="F214" s="44"/>
      <c r="G214" s="102"/>
      <c r="H214" s="101"/>
      <c r="I214" s="101"/>
      <c r="J214" s="101"/>
      <c r="K214" s="101"/>
      <c r="L214" s="103"/>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row>
    <row r="215" spans="1:35" x14ac:dyDescent="0.25">
      <c r="A215" s="105"/>
      <c r="B215" s="25"/>
      <c r="C215" s="25"/>
      <c r="D215" s="101"/>
      <c r="E215" s="25"/>
      <c r="F215" s="44"/>
      <c r="G215" s="102"/>
      <c r="H215" s="101"/>
      <c r="I215" s="101"/>
      <c r="J215" s="101"/>
      <c r="K215" s="101"/>
      <c r="L215" s="103"/>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row>
    <row r="216" spans="1:35" x14ac:dyDescent="0.25">
      <c r="A216" s="105"/>
      <c r="B216" s="25"/>
      <c r="C216" s="25"/>
      <c r="D216" s="101"/>
      <c r="E216" s="25"/>
      <c r="F216" s="44"/>
      <c r="G216" s="102"/>
      <c r="H216" s="101"/>
      <c r="I216" s="101"/>
      <c r="J216" s="101"/>
      <c r="K216" s="101"/>
      <c r="L216" s="103"/>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row>
    <row r="217" spans="1:35" x14ac:dyDescent="0.25">
      <c r="A217" s="105"/>
      <c r="B217" s="25"/>
      <c r="C217" s="25"/>
      <c r="D217" s="101"/>
      <c r="E217" s="25"/>
      <c r="F217" s="44"/>
      <c r="G217" s="102"/>
      <c r="H217" s="101"/>
      <c r="I217" s="101"/>
      <c r="J217" s="101"/>
      <c r="K217" s="101"/>
      <c r="L217" s="103"/>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row>
    <row r="218" spans="1:35" x14ac:dyDescent="0.25">
      <c r="A218" s="105"/>
      <c r="B218" s="25"/>
      <c r="C218" s="25"/>
      <c r="D218" s="101"/>
      <c r="E218" s="25"/>
      <c r="F218" s="44"/>
      <c r="G218" s="102"/>
      <c r="H218" s="101"/>
      <c r="I218" s="101"/>
      <c r="J218" s="101"/>
      <c r="K218" s="101"/>
      <c r="L218" s="103"/>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row>
    <row r="219" spans="1:35" x14ac:dyDescent="0.25">
      <c r="A219" s="105"/>
      <c r="B219" s="25"/>
      <c r="C219" s="25"/>
      <c r="D219" s="101"/>
      <c r="E219" s="25"/>
      <c r="F219" s="44"/>
      <c r="G219" s="102"/>
      <c r="H219" s="101"/>
      <c r="I219" s="101"/>
      <c r="J219" s="101"/>
      <c r="K219" s="101"/>
      <c r="L219" s="103"/>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row>
    <row r="220" spans="1:35" x14ac:dyDescent="0.25">
      <c r="A220" s="105"/>
      <c r="B220" s="25"/>
      <c r="C220" s="25"/>
      <c r="D220" s="101"/>
      <c r="E220" s="25"/>
      <c r="F220" s="44"/>
      <c r="G220" s="102"/>
      <c r="H220" s="101"/>
      <c r="I220" s="101"/>
      <c r="J220" s="101"/>
      <c r="K220" s="101"/>
      <c r="L220" s="103"/>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row>
    <row r="221" spans="1:35" x14ac:dyDescent="0.25">
      <c r="A221" s="105"/>
      <c r="B221" s="25"/>
      <c r="C221" s="25"/>
      <c r="D221" s="101"/>
      <c r="E221" s="25"/>
      <c r="F221" s="44"/>
      <c r="G221" s="102"/>
      <c r="H221" s="101"/>
      <c r="I221" s="101"/>
      <c r="J221" s="101"/>
      <c r="K221" s="101"/>
      <c r="L221" s="103"/>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row>
    <row r="222" spans="1:35" x14ac:dyDescent="0.25">
      <c r="A222" s="105"/>
      <c r="B222" s="25"/>
      <c r="C222" s="25"/>
      <c r="D222" s="101"/>
      <c r="E222" s="25"/>
      <c r="F222" s="44"/>
      <c r="G222" s="102"/>
      <c r="H222" s="101"/>
      <c r="I222" s="101"/>
      <c r="J222" s="101"/>
      <c r="K222" s="101"/>
      <c r="L222" s="103"/>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row>
    <row r="223" spans="1:35" x14ac:dyDescent="0.25">
      <c r="A223" s="105"/>
      <c r="B223" s="25"/>
      <c r="C223" s="25"/>
      <c r="D223" s="101"/>
      <c r="E223" s="25"/>
      <c r="F223" s="44"/>
      <c r="G223" s="102"/>
      <c r="H223" s="101"/>
      <c r="I223" s="101"/>
      <c r="J223" s="101"/>
      <c r="K223" s="101"/>
      <c r="L223" s="103"/>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row>
    <row r="224" spans="1:35" x14ac:dyDescent="0.25">
      <c r="A224" s="105"/>
      <c r="B224" s="25"/>
      <c r="C224" s="25"/>
      <c r="D224" s="101"/>
      <c r="E224" s="25"/>
      <c r="F224" s="44"/>
      <c r="G224" s="102"/>
      <c r="H224" s="101"/>
      <c r="I224" s="101"/>
      <c r="J224" s="101"/>
      <c r="K224" s="101"/>
      <c r="L224" s="103"/>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row>
    <row r="225" spans="1:35" x14ac:dyDescent="0.25">
      <c r="A225" s="105"/>
      <c r="B225" s="25"/>
      <c r="C225" s="25"/>
      <c r="D225" s="101"/>
      <c r="E225" s="25"/>
      <c r="F225" s="44"/>
      <c r="G225" s="102"/>
      <c r="H225" s="101"/>
      <c r="I225" s="101"/>
      <c r="J225" s="101"/>
      <c r="K225" s="101"/>
      <c r="L225" s="103"/>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row>
    <row r="226" spans="1:35" x14ac:dyDescent="0.25">
      <c r="A226" s="105"/>
      <c r="B226" s="25"/>
      <c r="C226" s="25"/>
      <c r="D226" s="101"/>
      <c r="E226" s="25"/>
      <c r="F226" s="44"/>
      <c r="G226" s="102"/>
      <c r="H226" s="101"/>
      <c r="I226" s="101"/>
      <c r="J226" s="101"/>
      <c r="K226" s="101"/>
      <c r="L226" s="103"/>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row>
    <row r="227" spans="1:35" x14ac:dyDescent="0.25">
      <c r="A227" s="105"/>
      <c r="B227" s="25"/>
      <c r="C227" s="25"/>
      <c r="D227" s="101"/>
      <c r="E227" s="25"/>
      <c r="F227" s="44"/>
      <c r="G227" s="102"/>
      <c r="H227" s="101"/>
      <c r="I227" s="101"/>
      <c r="J227" s="101"/>
      <c r="K227" s="101"/>
      <c r="L227" s="103"/>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row>
    <row r="228" spans="1:35" x14ac:dyDescent="0.25">
      <c r="A228" s="105"/>
      <c r="B228" s="25"/>
      <c r="C228" s="25"/>
      <c r="D228" s="101"/>
      <c r="E228" s="25"/>
      <c r="F228" s="44"/>
      <c r="G228" s="102"/>
      <c r="H228" s="101"/>
      <c r="I228" s="101"/>
      <c r="J228" s="101"/>
      <c r="K228" s="101"/>
      <c r="L228" s="103"/>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row>
    <row r="229" spans="1:35" x14ac:dyDescent="0.25">
      <c r="A229" s="105"/>
      <c r="B229" s="25"/>
      <c r="C229" s="25"/>
      <c r="D229" s="101"/>
      <c r="E229" s="25"/>
      <c r="F229" s="44"/>
      <c r="G229" s="102"/>
      <c r="H229" s="101"/>
      <c r="I229" s="101"/>
      <c r="J229" s="101"/>
      <c r="K229" s="101"/>
      <c r="L229" s="103"/>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row>
    <row r="230" spans="1:35" x14ac:dyDescent="0.25">
      <c r="A230" s="105"/>
      <c r="B230" s="25"/>
      <c r="C230" s="25"/>
      <c r="D230" s="101"/>
      <c r="E230" s="25"/>
      <c r="F230" s="44"/>
      <c r="G230" s="102"/>
      <c r="H230" s="101"/>
      <c r="I230" s="101"/>
      <c r="J230" s="101"/>
      <c r="K230" s="101"/>
      <c r="L230" s="103"/>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row>
    <row r="231" spans="1:35" x14ac:dyDescent="0.25">
      <c r="A231" s="105"/>
      <c r="B231" s="25"/>
      <c r="C231" s="25"/>
      <c r="D231" s="101"/>
      <c r="E231" s="25"/>
      <c r="F231" s="44"/>
      <c r="G231" s="102"/>
      <c r="H231" s="101"/>
      <c r="I231" s="101"/>
      <c r="J231" s="101"/>
      <c r="K231" s="101"/>
      <c r="L231" s="103"/>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row>
    <row r="232" spans="1:35" x14ac:dyDescent="0.25">
      <c r="A232" s="105"/>
      <c r="B232" s="25"/>
      <c r="C232" s="25"/>
      <c r="D232" s="101"/>
      <c r="E232" s="25"/>
      <c r="F232" s="44"/>
      <c r="G232" s="102"/>
      <c r="H232" s="101"/>
      <c r="I232" s="101"/>
      <c r="J232" s="101"/>
      <c r="K232" s="101"/>
      <c r="L232" s="103"/>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row>
    <row r="233" spans="1:35" x14ac:dyDescent="0.25">
      <c r="A233" s="105"/>
      <c r="B233" s="25"/>
      <c r="C233" s="25"/>
      <c r="D233" s="101"/>
      <c r="E233" s="25"/>
      <c r="F233" s="44"/>
      <c r="G233" s="102"/>
      <c r="H233" s="101"/>
      <c r="I233" s="101"/>
      <c r="J233" s="101"/>
      <c r="K233" s="101"/>
      <c r="L233" s="103"/>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row>
    <row r="234" spans="1:35" x14ac:dyDescent="0.25">
      <c r="A234" s="105"/>
      <c r="B234" s="25"/>
      <c r="C234" s="25"/>
      <c r="D234" s="101"/>
      <c r="E234" s="25"/>
      <c r="F234" s="44"/>
      <c r="G234" s="102"/>
      <c r="H234" s="101"/>
      <c r="I234" s="101"/>
      <c r="J234" s="101"/>
      <c r="K234" s="101"/>
      <c r="L234" s="103"/>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row>
    <row r="235" spans="1:35" x14ac:dyDescent="0.25">
      <c r="A235" s="105"/>
      <c r="B235" s="25"/>
      <c r="C235" s="25"/>
      <c r="D235" s="101"/>
      <c r="E235" s="25"/>
      <c r="F235" s="44"/>
      <c r="G235" s="102"/>
      <c r="H235" s="101"/>
      <c r="I235" s="101"/>
      <c r="J235" s="101"/>
      <c r="K235" s="101"/>
      <c r="L235" s="103"/>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row>
    <row r="236" spans="1:35" x14ac:dyDescent="0.25">
      <c r="A236" s="105"/>
      <c r="B236" s="25"/>
      <c r="C236" s="25"/>
      <c r="D236" s="101"/>
      <c r="E236" s="25"/>
      <c r="F236" s="44"/>
      <c r="G236" s="102"/>
      <c r="H236" s="101"/>
      <c r="I236" s="101"/>
      <c r="J236" s="101"/>
      <c r="K236" s="101"/>
      <c r="L236" s="103"/>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row>
    <row r="237" spans="1:35" x14ac:dyDescent="0.25">
      <c r="A237" s="105"/>
      <c r="B237" s="25"/>
      <c r="C237" s="25"/>
      <c r="D237" s="101"/>
      <c r="E237" s="25"/>
      <c r="F237" s="44"/>
      <c r="G237" s="102"/>
      <c r="H237" s="101"/>
      <c r="I237" s="101"/>
      <c r="J237" s="101"/>
      <c r="K237" s="101"/>
      <c r="L237" s="103"/>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row>
    <row r="238" spans="1:35" x14ac:dyDescent="0.25">
      <c r="A238" s="105"/>
      <c r="B238" s="25"/>
      <c r="C238" s="25"/>
      <c r="D238" s="101"/>
      <c r="E238" s="25"/>
      <c r="F238" s="44"/>
      <c r="G238" s="102"/>
      <c r="H238" s="101"/>
      <c r="I238" s="101"/>
      <c r="J238" s="101"/>
      <c r="K238" s="101"/>
      <c r="L238" s="103"/>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row>
    <row r="239" spans="1:35" x14ac:dyDescent="0.25">
      <c r="A239" s="105"/>
      <c r="B239" s="25"/>
      <c r="C239" s="25"/>
      <c r="D239" s="101"/>
      <c r="E239" s="25"/>
      <c r="F239" s="44"/>
      <c r="G239" s="102"/>
      <c r="H239" s="101"/>
      <c r="I239" s="101"/>
      <c r="J239" s="101"/>
      <c r="K239" s="101"/>
      <c r="L239" s="103"/>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row>
    <row r="240" spans="1:35" x14ac:dyDescent="0.25">
      <c r="A240" s="105"/>
      <c r="B240" s="25"/>
      <c r="C240" s="25"/>
      <c r="D240" s="101"/>
      <c r="E240" s="25"/>
      <c r="F240" s="44"/>
      <c r="G240" s="102"/>
      <c r="H240" s="101"/>
      <c r="I240" s="101"/>
      <c r="J240" s="101"/>
      <c r="K240" s="101"/>
      <c r="L240" s="103"/>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row>
    <row r="241" spans="1:35" x14ac:dyDescent="0.25">
      <c r="A241" s="105"/>
      <c r="B241" s="25"/>
      <c r="C241" s="25"/>
      <c r="D241" s="101"/>
      <c r="E241" s="25"/>
      <c r="F241" s="44"/>
      <c r="G241" s="102"/>
      <c r="H241" s="101"/>
      <c r="I241" s="101"/>
      <c r="J241" s="101"/>
      <c r="K241" s="101"/>
      <c r="L241" s="103"/>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row>
    <row r="242" spans="1:35" x14ac:dyDescent="0.25">
      <c r="A242" s="105"/>
      <c r="B242" s="25"/>
      <c r="C242" s="25"/>
      <c r="D242" s="101"/>
      <c r="E242" s="25"/>
      <c r="F242" s="44"/>
      <c r="G242" s="102"/>
      <c r="H242" s="101"/>
      <c r="I242" s="101"/>
      <c r="J242" s="101"/>
      <c r="K242" s="101"/>
      <c r="L242" s="103"/>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row>
    <row r="243" spans="1:35" x14ac:dyDescent="0.25">
      <c r="A243" s="105"/>
      <c r="B243" s="25"/>
      <c r="C243" s="25"/>
      <c r="D243" s="101"/>
      <c r="E243" s="25"/>
      <c r="F243" s="44"/>
      <c r="G243" s="102"/>
      <c r="H243" s="101"/>
      <c r="I243" s="101"/>
      <c r="J243" s="101"/>
      <c r="K243" s="101"/>
      <c r="L243" s="103"/>
      <c r="M243" s="101"/>
      <c r="N243" s="101"/>
      <c r="O243" s="101"/>
      <c r="P243" s="101"/>
      <c r="Q243" s="101"/>
      <c r="R243" s="101"/>
      <c r="S243" s="101"/>
      <c r="T243" s="101"/>
      <c r="U243" s="101"/>
      <c r="V243" s="101"/>
      <c r="W243" s="101"/>
      <c r="X243" s="101"/>
      <c r="Y243" s="101"/>
      <c r="Z243" s="101"/>
      <c r="AA243" s="101"/>
      <c r="AB243" s="101"/>
      <c r="AC243" s="101"/>
      <c r="AD243" s="101"/>
      <c r="AE243" s="101"/>
      <c r="AF243" s="101"/>
      <c r="AG243" s="101"/>
      <c r="AH243" s="101"/>
      <c r="AI243" s="101"/>
    </row>
    <row r="244" spans="1:35" x14ac:dyDescent="0.25">
      <c r="A244" s="105"/>
      <c r="B244" s="25"/>
      <c r="C244" s="25"/>
      <c r="D244" s="101"/>
      <c r="E244" s="25"/>
      <c r="F244" s="44"/>
      <c r="G244" s="102"/>
      <c r="H244" s="101"/>
      <c r="I244" s="101"/>
      <c r="J244" s="101"/>
      <c r="K244" s="101"/>
      <c r="L244" s="103"/>
      <c r="M244" s="101"/>
      <c r="N244" s="101"/>
      <c r="O244" s="101"/>
      <c r="P244" s="101"/>
      <c r="Q244" s="101"/>
      <c r="R244" s="101"/>
      <c r="S244" s="101"/>
      <c r="T244" s="101"/>
      <c r="U244" s="101"/>
      <c r="V244" s="101"/>
      <c r="W244" s="101"/>
      <c r="X244" s="101"/>
      <c r="Y244" s="101"/>
      <c r="Z244" s="101"/>
      <c r="AA244" s="101"/>
      <c r="AB244" s="101"/>
      <c r="AC244" s="101"/>
      <c r="AD244" s="101"/>
      <c r="AE244" s="101"/>
      <c r="AF244" s="101"/>
      <c r="AG244" s="101"/>
      <c r="AH244" s="101"/>
      <c r="AI244" s="101"/>
    </row>
    <row r="245" spans="1:35" x14ac:dyDescent="0.25">
      <c r="A245" s="105"/>
      <c r="B245" s="25"/>
      <c r="C245" s="25"/>
      <c r="D245" s="101"/>
      <c r="E245" s="25"/>
      <c r="F245" s="44"/>
      <c r="G245" s="102"/>
      <c r="H245" s="101"/>
      <c r="I245" s="101"/>
      <c r="J245" s="101"/>
      <c r="K245" s="101"/>
      <c r="L245" s="103"/>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row>
    <row r="246" spans="1:35" x14ac:dyDescent="0.25">
      <c r="A246" s="105"/>
      <c r="B246" s="25"/>
      <c r="C246" s="25"/>
      <c r="D246" s="101"/>
      <c r="E246" s="25"/>
      <c r="F246" s="44"/>
      <c r="G246" s="102"/>
      <c r="H246" s="101"/>
      <c r="I246" s="101"/>
      <c r="J246" s="101"/>
      <c r="K246" s="101"/>
      <c r="L246" s="103"/>
      <c r="M246" s="101"/>
      <c r="N246" s="101"/>
      <c r="O246" s="101"/>
      <c r="P246" s="101"/>
      <c r="Q246" s="101"/>
      <c r="R246" s="101"/>
      <c r="S246" s="101"/>
      <c r="T246" s="101"/>
      <c r="U246" s="101"/>
      <c r="V246" s="101"/>
      <c r="W246" s="101"/>
      <c r="X246" s="101"/>
      <c r="Y246" s="101"/>
      <c r="Z246" s="101"/>
      <c r="AA246" s="101"/>
      <c r="AB246" s="101"/>
      <c r="AC246" s="101"/>
      <c r="AD246" s="101"/>
      <c r="AE246" s="101"/>
      <c r="AF246" s="101"/>
      <c r="AG246" s="101"/>
      <c r="AH246" s="101"/>
      <c r="AI246" s="101"/>
    </row>
    <row r="247" spans="1:35" x14ac:dyDescent="0.25">
      <c r="A247" s="105"/>
      <c r="B247" s="25"/>
      <c r="C247" s="25"/>
      <c r="D247" s="101"/>
      <c r="E247" s="25"/>
      <c r="F247" s="44"/>
      <c r="G247" s="102"/>
      <c r="H247" s="101"/>
      <c r="I247" s="101"/>
      <c r="J247" s="101"/>
      <c r="K247" s="101"/>
      <c r="L247" s="103"/>
      <c r="M247" s="101"/>
      <c r="N247" s="101"/>
      <c r="O247" s="101"/>
      <c r="P247" s="101"/>
      <c r="Q247" s="101"/>
      <c r="R247" s="101"/>
      <c r="S247" s="101"/>
      <c r="T247" s="101"/>
      <c r="U247" s="101"/>
      <c r="V247" s="101"/>
      <c r="W247" s="101"/>
      <c r="X247" s="101"/>
      <c r="Y247" s="101"/>
      <c r="Z247" s="101"/>
      <c r="AA247" s="101"/>
      <c r="AB247" s="101"/>
      <c r="AC247" s="101"/>
      <c r="AD247" s="101"/>
      <c r="AE247" s="101"/>
      <c r="AF247" s="101"/>
      <c r="AG247" s="101"/>
      <c r="AH247" s="101"/>
      <c r="AI247" s="101"/>
    </row>
    <row r="248" spans="1:35" x14ac:dyDescent="0.25">
      <c r="A248" s="105"/>
      <c r="B248" s="25"/>
      <c r="C248" s="25"/>
      <c r="D248" s="101"/>
      <c r="E248" s="25"/>
      <c r="F248" s="44"/>
      <c r="G248" s="102"/>
      <c r="H248" s="101"/>
      <c r="I248" s="101"/>
      <c r="J248" s="101"/>
      <c r="K248" s="101"/>
      <c r="L248" s="103"/>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row>
    <row r="249" spans="1:35" x14ac:dyDescent="0.25">
      <c r="A249" s="105"/>
      <c r="B249" s="25"/>
      <c r="C249" s="25"/>
      <c r="D249" s="101"/>
      <c r="E249" s="25"/>
      <c r="F249" s="44"/>
      <c r="G249" s="102"/>
      <c r="H249" s="101"/>
      <c r="I249" s="101"/>
      <c r="J249" s="101"/>
      <c r="K249" s="101"/>
      <c r="L249" s="103"/>
      <c r="M249" s="101"/>
      <c r="N249" s="101"/>
      <c r="O249" s="101"/>
      <c r="P249" s="101"/>
      <c r="Q249" s="101"/>
      <c r="R249" s="101"/>
      <c r="S249" s="101"/>
      <c r="T249" s="101"/>
      <c r="U249" s="101"/>
      <c r="V249" s="101"/>
      <c r="W249" s="101"/>
      <c r="X249" s="101"/>
      <c r="Y249" s="101"/>
      <c r="Z249" s="101"/>
      <c r="AA249" s="101"/>
      <c r="AB249" s="101"/>
      <c r="AC249" s="101"/>
      <c r="AD249" s="101"/>
      <c r="AE249" s="101"/>
      <c r="AF249" s="101"/>
      <c r="AG249" s="101"/>
      <c r="AH249" s="101"/>
      <c r="AI249" s="101"/>
    </row>
    <row r="250" spans="1:35" x14ac:dyDescent="0.25">
      <c r="A250" s="105"/>
      <c r="B250" s="25"/>
      <c r="C250" s="25"/>
      <c r="D250" s="101"/>
      <c r="E250" s="25"/>
      <c r="F250" s="44"/>
      <c r="G250" s="102"/>
      <c r="H250" s="101"/>
      <c r="I250" s="101"/>
      <c r="J250" s="101"/>
      <c r="K250" s="101"/>
      <c r="L250" s="103"/>
      <c r="M250" s="101"/>
      <c r="N250" s="101"/>
      <c r="O250" s="101"/>
      <c r="P250" s="101"/>
      <c r="Q250" s="101"/>
      <c r="R250" s="101"/>
      <c r="S250" s="101"/>
      <c r="T250" s="101"/>
      <c r="U250" s="101"/>
      <c r="V250" s="101"/>
      <c r="W250" s="101"/>
      <c r="X250" s="101"/>
      <c r="Y250" s="101"/>
      <c r="Z250" s="101"/>
      <c r="AA250" s="101"/>
      <c r="AB250" s="101"/>
      <c r="AC250" s="101"/>
      <c r="AD250" s="101"/>
      <c r="AE250" s="101"/>
      <c r="AF250" s="101"/>
      <c r="AG250" s="101"/>
      <c r="AH250" s="101"/>
      <c r="AI250" s="101"/>
    </row>
    <row r="251" spans="1:35" x14ac:dyDescent="0.25">
      <c r="A251" s="105"/>
      <c r="B251" s="25"/>
      <c r="C251" s="25"/>
      <c r="D251" s="101"/>
      <c r="E251" s="25"/>
      <c r="F251" s="44"/>
      <c r="G251" s="102"/>
      <c r="H251" s="101"/>
      <c r="I251" s="101"/>
      <c r="J251" s="101"/>
      <c r="K251" s="101"/>
      <c r="L251" s="103"/>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row>
    <row r="252" spans="1:35" x14ac:dyDescent="0.25">
      <c r="A252" s="105"/>
      <c r="B252" s="25"/>
      <c r="C252" s="25"/>
      <c r="D252" s="101"/>
      <c r="E252" s="25"/>
      <c r="F252" s="44"/>
      <c r="G252" s="102"/>
      <c r="H252" s="101"/>
      <c r="I252" s="101"/>
      <c r="J252" s="101"/>
      <c r="K252" s="101"/>
      <c r="L252" s="103"/>
      <c r="M252" s="101"/>
      <c r="N252" s="101"/>
      <c r="O252" s="101"/>
      <c r="P252" s="101"/>
      <c r="Q252" s="101"/>
      <c r="R252" s="101"/>
      <c r="S252" s="101"/>
      <c r="T252" s="101"/>
      <c r="U252" s="101"/>
      <c r="V252" s="101"/>
      <c r="W252" s="101"/>
      <c r="X252" s="101"/>
      <c r="Y252" s="101"/>
      <c r="Z252" s="101"/>
      <c r="AA252" s="101"/>
      <c r="AB252" s="101"/>
      <c r="AC252" s="101"/>
      <c r="AD252" s="101"/>
      <c r="AE252" s="101"/>
      <c r="AF252" s="101"/>
      <c r="AG252" s="101"/>
      <c r="AH252" s="101"/>
      <c r="AI252" s="101"/>
    </row>
    <row r="253" spans="1:35" x14ac:dyDescent="0.25">
      <c r="A253" s="105"/>
      <c r="B253" s="25"/>
      <c r="C253" s="25"/>
      <c r="D253" s="101"/>
      <c r="E253" s="25"/>
      <c r="F253" s="44"/>
      <c r="G253" s="102"/>
      <c r="H253" s="101"/>
      <c r="I253" s="101"/>
      <c r="J253" s="101"/>
      <c r="K253" s="101"/>
      <c r="L253" s="103"/>
      <c r="M253" s="101"/>
      <c r="N253" s="101"/>
      <c r="O253" s="101"/>
      <c r="P253" s="101"/>
      <c r="Q253" s="101"/>
      <c r="R253" s="101"/>
      <c r="S253" s="101"/>
      <c r="T253" s="101"/>
      <c r="U253" s="101"/>
      <c r="V253" s="101"/>
      <c r="W253" s="101"/>
      <c r="X253" s="101"/>
      <c r="Y253" s="101"/>
      <c r="Z253" s="101"/>
      <c r="AA253" s="101"/>
      <c r="AB253" s="101"/>
      <c r="AC253" s="101"/>
      <c r="AD253" s="101"/>
      <c r="AE253" s="101"/>
      <c r="AF253" s="101"/>
      <c r="AG253" s="101"/>
      <c r="AH253" s="101"/>
      <c r="AI253" s="101"/>
    </row>
    <row r="254" spans="1:35" x14ac:dyDescent="0.25">
      <c r="A254" s="105"/>
      <c r="B254" s="25"/>
      <c r="C254" s="25"/>
      <c r="D254" s="101"/>
      <c r="E254" s="25"/>
      <c r="F254" s="44"/>
      <c r="G254" s="102"/>
      <c r="H254" s="101"/>
      <c r="I254" s="101"/>
      <c r="J254" s="101"/>
      <c r="K254" s="101"/>
      <c r="L254" s="103"/>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row>
    <row r="255" spans="1:35" x14ac:dyDescent="0.25">
      <c r="A255" s="105"/>
      <c r="B255" s="25"/>
      <c r="C255" s="25"/>
      <c r="D255" s="101"/>
      <c r="E255" s="25"/>
      <c r="F255" s="44"/>
      <c r="G255" s="102"/>
      <c r="H255" s="101"/>
      <c r="I255" s="101"/>
      <c r="J255" s="101"/>
      <c r="K255" s="101"/>
      <c r="L255" s="103"/>
      <c r="M255" s="101"/>
      <c r="N255" s="101"/>
      <c r="O255" s="101"/>
      <c r="P255" s="101"/>
      <c r="Q255" s="101"/>
      <c r="R255" s="101"/>
      <c r="S255" s="101"/>
      <c r="T255" s="101"/>
      <c r="U255" s="101"/>
      <c r="V255" s="101"/>
      <c r="W255" s="101"/>
      <c r="X255" s="101"/>
      <c r="Y255" s="101"/>
      <c r="Z255" s="101"/>
      <c r="AA255" s="101"/>
      <c r="AB255" s="101"/>
      <c r="AC255" s="101"/>
      <c r="AD255" s="101"/>
      <c r="AE255" s="101"/>
      <c r="AF255" s="101"/>
      <c r="AG255" s="101"/>
      <c r="AH255" s="101"/>
      <c r="AI255" s="101"/>
    </row>
    <row r="256" spans="1:35" x14ac:dyDescent="0.25">
      <c r="A256" s="105"/>
      <c r="B256" s="25"/>
      <c r="C256" s="25"/>
      <c r="D256" s="101"/>
      <c r="E256" s="25"/>
      <c r="F256" s="44"/>
      <c r="G256" s="102"/>
      <c r="H256" s="101"/>
      <c r="I256" s="101"/>
      <c r="J256" s="101"/>
      <c r="K256" s="101"/>
      <c r="L256" s="103"/>
      <c r="M256" s="101"/>
      <c r="N256" s="101"/>
      <c r="O256" s="101"/>
      <c r="P256" s="101"/>
      <c r="Q256" s="101"/>
      <c r="R256" s="101"/>
      <c r="S256" s="101"/>
      <c r="T256" s="101"/>
      <c r="U256" s="101"/>
      <c r="V256" s="101"/>
      <c r="W256" s="101"/>
      <c r="X256" s="101"/>
      <c r="Y256" s="101"/>
      <c r="Z256" s="101"/>
      <c r="AA256" s="101"/>
      <c r="AB256" s="101"/>
      <c r="AC256" s="101"/>
      <c r="AD256" s="101"/>
      <c r="AE256" s="101"/>
      <c r="AF256" s="101"/>
      <c r="AG256" s="101"/>
      <c r="AH256" s="101"/>
      <c r="AI256" s="101"/>
    </row>
    <row r="257" spans="1:35" x14ac:dyDescent="0.25">
      <c r="A257" s="105"/>
      <c r="B257" s="25"/>
      <c r="C257" s="25"/>
      <c r="D257" s="101"/>
      <c r="E257" s="25"/>
      <c r="F257" s="44"/>
      <c r="G257" s="102"/>
      <c r="H257" s="101"/>
      <c r="I257" s="101"/>
      <c r="J257" s="101"/>
      <c r="K257" s="101"/>
      <c r="L257" s="103"/>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row>
    <row r="258" spans="1:35" x14ac:dyDescent="0.25">
      <c r="A258" s="105"/>
      <c r="B258" s="25"/>
      <c r="C258" s="25"/>
      <c r="D258" s="101"/>
      <c r="E258" s="25"/>
      <c r="F258" s="44"/>
      <c r="G258" s="102"/>
      <c r="H258" s="101"/>
      <c r="I258" s="101"/>
      <c r="J258" s="101"/>
      <c r="K258" s="101"/>
      <c r="L258" s="103"/>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row>
    <row r="259" spans="1:35" x14ac:dyDescent="0.25">
      <c r="A259" s="105"/>
      <c r="B259" s="25"/>
      <c r="C259" s="25"/>
      <c r="D259" s="101"/>
      <c r="E259" s="25"/>
      <c r="F259" s="44"/>
      <c r="G259" s="102"/>
      <c r="H259" s="101"/>
      <c r="I259" s="101"/>
      <c r="J259" s="101"/>
      <c r="K259" s="101"/>
      <c r="L259" s="103"/>
      <c r="M259" s="101"/>
      <c r="N259" s="101"/>
      <c r="O259" s="101"/>
      <c r="P259" s="101"/>
      <c r="Q259" s="101"/>
      <c r="R259" s="101"/>
      <c r="S259" s="101"/>
      <c r="T259" s="101"/>
      <c r="U259" s="101"/>
      <c r="V259" s="101"/>
      <c r="W259" s="101"/>
      <c r="X259" s="101"/>
      <c r="Y259" s="101"/>
      <c r="Z259" s="101"/>
      <c r="AA259" s="101"/>
      <c r="AB259" s="101"/>
      <c r="AC259" s="101"/>
      <c r="AD259" s="101"/>
      <c r="AE259" s="101"/>
      <c r="AF259" s="101"/>
      <c r="AG259" s="101"/>
      <c r="AH259" s="101"/>
      <c r="AI259" s="101"/>
    </row>
    <row r="260" spans="1:35" x14ac:dyDescent="0.25">
      <c r="A260" s="105"/>
      <c r="B260" s="25"/>
      <c r="C260" s="25"/>
      <c r="D260" s="101"/>
      <c r="E260" s="25"/>
      <c r="F260" s="44"/>
      <c r="G260" s="102"/>
      <c r="H260" s="101"/>
      <c r="I260" s="101"/>
      <c r="J260" s="101"/>
      <c r="K260" s="101"/>
      <c r="L260" s="103"/>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row>
    <row r="261" spans="1:35" x14ac:dyDescent="0.25">
      <c r="A261" s="105"/>
      <c r="B261" s="25"/>
      <c r="C261" s="25"/>
      <c r="D261" s="101"/>
      <c r="E261" s="25"/>
      <c r="F261" s="44"/>
      <c r="G261" s="102"/>
      <c r="H261" s="101"/>
      <c r="I261" s="101"/>
      <c r="J261" s="101"/>
      <c r="K261" s="101"/>
      <c r="L261" s="103"/>
      <c r="M261" s="101"/>
      <c r="N261" s="101"/>
      <c r="O261" s="101"/>
      <c r="P261" s="101"/>
      <c r="Q261" s="101"/>
      <c r="R261" s="101"/>
      <c r="S261" s="101"/>
      <c r="T261" s="101"/>
      <c r="U261" s="101"/>
      <c r="V261" s="101"/>
      <c r="W261" s="101"/>
      <c r="X261" s="101"/>
      <c r="Y261" s="101"/>
      <c r="Z261" s="101"/>
      <c r="AA261" s="101"/>
      <c r="AB261" s="101"/>
      <c r="AC261" s="101"/>
      <c r="AD261" s="101"/>
      <c r="AE261" s="101"/>
      <c r="AF261" s="101"/>
      <c r="AG261" s="101"/>
      <c r="AH261" s="101"/>
      <c r="AI261" s="101"/>
    </row>
    <row r="262" spans="1:35" x14ac:dyDescent="0.25">
      <c r="A262" s="105"/>
      <c r="B262" s="25"/>
      <c r="C262" s="25"/>
      <c r="D262" s="101"/>
      <c r="E262" s="25"/>
      <c r="F262" s="44"/>
      <c r="G262" s="102"/>
      <c r="H262" s="101"/>
      <c r="I262" s="101"/>
      <c r="J262" s="101"/>
      <c r="K262" s="101"/>
      <c r="L262" s="103"/>
      <c r="M262" s="101"/>
      <c r="N262" s="101"/>
      <c r="O262" s="101"/>
      <c r="P262" s="101"/>
      <c r="Q262" s="101"/>
      <c r="R262" s="101"/>
      <c r="S262" s="101"/>
      <c r="T262" s="101"/>
      <c r="U262" s="101"/>
      <c r="V262" s="101"/>
      <c r="W262" s="101"/>
      <c r="X262" s="101"/>
      <c r="Y262" s="101"/>
      <c r="Z262" s="101"/>
      <c r="AA262" s="101"/>
      <c r="AB262" s="101"/>
      <c r="AC262" s="101"/>
      <c r="AD262" s="101"/>
      <c r="AE262" s="101"/>
      <c r="AF262" s="101"/>
      <c r="AG262" s="101"/>
      <c r="AH262" s="101"/>
      <c r="AI262" s="101"/>
    </row>
    <row r="263" spans="1:35" x14ac:dyDescent="0.25">
      <c r="A263" s="105"/>
      <c r="B263" s="25"/>
      <c r="C263" s="25"/>
      <c r="D263" s="101"/>
      <c r="E263" s="25"/>
      <c r="F263" s="44"/>
      <c r="G263" s="102"/>
      <c r="H263" s="101"/>
      <c r="I263" s="101"/>
      <c r="J263" s="101"/>
      <c r="K263" s="101"/>
      <c r="L263" s="103"/>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row>
    <row r="264" spans="1:35" x14ac:dyDescent="0.25">
      <c r="A264" s="105"/>
      <c r="B264" s="25"/>
      <c r="C264" s="25"/>
      <c r="D264" s="101"/>
      <c r="E264" s="25"/>
      <c r="F264" s="44"/>
      <c r="G264" s="102"/>
      <c r="H264" s="101"/>
      <c r="I264" s="101"/>
      <c r="J264" s="101"/>
      <c r="K264" s="101"/>
      <c r="L264" s="103"/>
      <c r="M264" s="101"/>
      <c r="N264" s="101"/>
      <c r="O264" s="101"/>
      <c r="P264" s="101"/>
      <c r="Q264" s="101"/>
      <c r="R264" s="101"/>
      <c r="S264" s="101"/>
      <c r="T264" s="101"/>
      <c r="U264" s="101"/>
      <c r="V264" s="101"/>
      <c r="W264" s="101"/>
      <c r="X264" s="101"/>
      <c r="Y264" s="101"/>
      <c r="Z264" s="101"/>
      <c r="AA264" s="101"/>
      <c r="AB264" s="101"/>
      <c r="AC264" s="101"/>
      <c r="AD264" s="101"/>
      <c r="AE264" s="101"/>
      <c r="AF264" s="101"/>
      <c r="AG264" s="101"/>
      <c r="AH264" s="101"/>
      <c r="AI264" s="101"/>
    </row>
    <row r="265" spans="1:35" x14ac:dyDescent="0.25">
      <c r="A265" s="105"/>
      <c r="B265" s="25"/>
      <c r="C265" s="25"/>
      <c r="D265" s="101"/>
      <c r="E265" s="25"/>
      <c r="F265" s="44"/>
      <c r="G265" s="102"/>
      <c r="H265" s="101"/>
      <c r="I265" s="101"/>
      <c r="J265" s="101"/>
      <c r="K265" s="101"/>
      <c r="L265" s="103"/>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row>
    <row r="266" spans="1:35" x14ac:dyDescent="0.25">
      <c r="A266" s="105"/>
      <c r="B266" s="25"/>
      <c r="C266" s="25"/>
      <c r="D266" s="101"/>
      <c r="E266" s="25"/>
      <c r="F266" s="44"/>
      <c r="G266" s="102"/>
      <c r="H266" s="101"/>
      <c r="I266" s="101"/>
      <c r="J266" s="101"/>
      <c r="K266" s="101"/>
      <c r="L266" s="103"/>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row>
    <row r="267" spans="1:35" x14ac:dyDescent="0.25">
      <c r="A267" s="105"/>
      <c r="B267" s="25"/>
      <c r="C267" s="25"/>
      <c r="D267" s="101"/>
      <c r="E267" s="25"/>
      <c r="F267" s="44"/>
      <c r="G267" s="102"/>
      <c r="H267" s="101"/>
      <c r="I267" s="101"/>
      <c r="J267" s="101"/>
      <c r="K267" s="101"/>
      <c r="L267" s="103"/>
      <c r="M267" s="101"/>
      <c r="N267" s="101"/>
      <c r="O267" s="101"/>
      <c r="P267" s="101"/>
      <c r="Q267" s="101"/>
      <c r="R267" s="101"/>
      <c r="S267" s="101"/>
      <c r="T267" s="101"/>
      <c r="U267" s="101"/>
      <c r="V267" s="101"/>
      <c r="W267" s="101"/>
      <c r="X267" s="101"/>
      <c r="Y267" s="101"/>
      <c r="Z267" s="101"/>
      <c r="AA267" s="101"/>
      <c r="AB267" s="101"/>
      <c r="AC267" s="101"/>
      <c r="AD267" s="101"/>
      <c r="AE267" s="101"/>
      <c r="AF267" s="101"/>
      <c r="AG267" s="101"/>
      <c r="AH267" s="101"/>
      <c r="AI267" s="101"/>
    </row>
    <row r="268" spans="1:35" x14ac:dyDescent="0.25">
      <c r="A268" s="105"/>
      <c r="B268" s="25"/>
      <c r="C268" s="25"/>
      <c r="D268" s="101"/>
      <c r="E268" s="25"/>
      <c r="F268" s="44"/>
      <c r="G268" s="102"/>
      <c r="H268" s="101"/>
      <c r="I268" s="101"/>
      <c r="J268" s="101"/>
      <c r="K268" s="101"/>
      <c r="L268" s="103"/>
      <c r="M268" s="101"/>
      <c r="N268" s="101"/>
      <c r="O268" s="101"/>
      <c r="P268" s="101"/>
      <c r="Q268" s="101"/>
      <c r="R268" s="101"/>
      <c r="S268" s="101"/>
      <c r="T268" s="101"/>
      <c r="U268" s="101"/>
      <c r="V268" s="101"/>
      <c r="W268" s="101"/>
      <c r="X268" s="101"/>
      <c r="Y268" s="101"/>
      <c r="Z268" s="101"/>
      <c r="AA268" s="101"/>
      <c r="AB268" s="101"/>
      <c r="AC268" s="101"/>
      <c r="AD268" s="101"/>
      <c r="AE268" s="101"/>
      <c r="AF268" s="101"/>
      <c r="AG268" s="101"/>
      <c r="AH268" s="101"/>
      <c r="AI268" s="101"/>
    </row>
    <row r="269" spans="1:35" x14ac:dyDescent="0.25">
      <c r="A269" s="105"/>
      <c r="B269" s="25"/>
      <c r="C269" s="25"/>
      <c r="D269" s="101"/>
      <c r="E269" s="25"/>
      <c r="F269" s="44"/>
      <c r="G269" s="102"/>
      <c r="H269" s="101"/>
      <c r="I269" s="101"/>
      <c r="J269" s="101"/>
      <c r="K269" s="101"/>
      <c r="L269" s="103"/>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row>
    <row r="270" spans="1:35" x14ac:dyDescent="0.25">
      <c r="A270" s="105"/>
      <c r="B270" s="25"/>
      <c r="C270" s="25"/>
      <c r="D270" s="101"/>
      <c r="E270" s="25"/>
      <c r="F270" s="44"/>
      <c r="G270" s="102"/>
      <c r="H270" s="101"/>
      <c r="I270" s="101"/>
      <c r="J270" s="101"/>
      <c r="K270" s="101"/>
      <c r="L270" s="103"/>
      <c r="M270" s="101"/>
      <c r="N270" s="101"/>
      <c r="O270" s="101"/>
      <c r="P270" s="101"/>
      <c r="Q270" s="101"/>
      <c r="R270" s="101"/>
      <c r="S270" s="101"/>
      <c r="T270" s="101"/>
      <c r="U270" s="101"/>
      <c r="V270" s="101"/>
      <c r="W270" s="101"/>
      <c r="X270" s="101"/>
      <c r="Y270" s="101"/>
      <c r="Z270" s="101"/>
      <c r="AA270" s="101"/>
      <c r="AB270" s="101"/>
      <c r="AC270" s="101"/>
      <c r="AD270" s="101"/>
      <c r="AE270" s="101"/>
      <c r="AF270" s="101"/>
      <c r="AG270" s="101"/>
      <c r="AH270" s="101"/>
      <c r="AI270" s="101"/>
    </row>
    <row r="271" spans="1:35" x14ac:dyDescent="0.25">
      <c r="A271" s="105"/>
      <c r="B271" s="25"/>
      <c r="C271" s="25"/>
      <c r="D271" s="101"/>
      <c r="E271" s="25"/>
      <c r="F271" s="44"/>
      <c r="G271" s="102"/>
      <c r="H271" s="101"/>
      <c r="I271" s="101"/>
      <c r="J271" s="101"/>
      <c r="K271" s="101"/>
      <c r="L271" s="103"/>
      <c r="M271" s="101"/>
      <c r="N271" s="101"/>
      <c r="O271" s="101"/>
      <c r="P271" s="101"/>
      <c r="Q271" s="101"/>
      <c r="R271" s="101"/>
      <c r="S271" s="101"/>
      <c r="T271" s="101"/>
      <c r="U271" s="101"/>
      <c r="V271" s="101"/>
      <c r="W271" s="101"/>
      <c r="X271" s="101"/>
      <c r="Y271" s="101"/>
      <c r="Z271" s="101"/>
      <c r="AA271" s="101"/>
      <c r="AB271" s="101"/>
      <c r="AC271" s="101"/>
      <c r="AD271" s="101"/>
      <c r="AE271" s="101"/>
      <c r="AF271" s="101"/>
      <c r="AG271" s="101"/>
      <c r="AH271" s="101"/>
      <c r="AI271" s="101"/>
    </row>
    <row r="272" spans="1:35" x14ac:dyDescent="0.25">
      <c r="A272" s="105"/>
      <c r="B272" s="25"/>
      <c r="C272" s="25"/>
      <c r="D272" s="101"/>
      <c r="E272" s="25"/>
      <c r="F272" s="44"/>
      <c r="G272" s="102"/>
      <c r="H272" s="101"/>
      <c r="I272" s="101"/>
      <c r="J272" s="101"/>
      <c r="K272" s="101"/>
      <c r="L272" s="103"/>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row>
    <row r="273" spans="1:35" x14ac:dyDescent="0.25">
      <c r="A273" s="105"/>
      <c r="B273" s="25"/>
      <c r="C273" s="25"/>
      <c r="D273" s="101"/>
      <c r="E273" s="25"/>
      <c r="F273" s="44"/>
      <c r="G273" s="102"/>
      <c r="H273" s="101"/>
      <c r="I273" s="101"/>
      <c r="J273" s="101"/>
      <c r="K273" s="101"/>
      <c r="L273" s="103"/>
      <c r="M273" s="101"/>
      <c r="N273" s="101"/>
      <c r="O273" s="101"/>
      <c r="P273" s="101"/>
      <c r="Q273" s="101"/>
      <c r="R273" s="101"/>
      <c r="S273" s="101"/>
      <c r="T273" s="101"/>
      <c r="U273" s="101"/>
      <c r="V273" s="101"/>
      <c r="W273" s="101"/>
      <c r="X273" s="101"/>
      <c r="Y273" s="101"/>
      <c r="Z273" s="101"/>
      <c r="AA273" s="101"/>
      <c r="AB273" s="101"/>
      <c r="AC273" s="101"/>
      <c r="AD273" s="101"/>
      <c r="AE273" s="101"/>
      <c r="AF273" s="101"/>
      <c r="AG273" s="101"/>
      <c r="AH273" s="101"/>
      <c r="AI273" s="101"/>
    </row>
    <row r="274" spans="1:35" x14ac:dyDescent="0.25">
      <c r="A274" s="105"/>
      <c r="B274" s="25"/>
      <c r="C274" s="25"/>
      <c r="D274" s="101"/>
      <c r="E274" s="25"/>
      <c r="F274" s="44"/>
      <c r="G274" s="102"/>
      <c r="H274" s="101"/>
      <c r="I274" s="101"/>
      <c r="J274" s="101"/>
      <c r="K274" s="101"/>
      <c r="L274" s="103"/>
      <c r="M274" s="101"/>
      <c r="N274" s="101"/>
      <c r="O274" s="101"/>
      <c r="P274" s="101"/>
      <c r="Q274" s="101"/>
      <c r="R274" s="101"/>
      <c r="S274" s="101"/>
      <c r="T274" s="101"/>
      <c r="U274" s="101"/>
      <c r="V274" s="101"/>
      <c r="W274" s="101"/>
      <c r="X274" s="101"/>
      <c r="Y274" s="101"/>
      <c r="Z274" s="101"/>
      <c r="AA274" s="101"/>
      <c r="AB274" s="101"/>
      <c r="AC274" s="101"/>
      <c r="AD274" s="101"/>
      <c r="AE274" s="101"/>
      <c r="AF274" s="101"/>
      <c r="AG274" s="101"/>
      <c r="AH274" s="101"/>
      <c r="AI274" s="101"/>
    </row>
    <row r="275" spans="1:35" x14ac:dyDescent="0.25">
      <c r="A275" s="105"/>
      <c r="B275" s="25"/>
      <c r="C275" s="25"/>
      <c r="D275" s="101"/>
      <c r="E275" s="25"/>
      <c r="F275" s="44"/>
      <c r="G275" s="102"/>
      <c r="H275" s="101"/>
      <c r="I275" s="101"/>
      <c r="J275" s="101"/>
      <c r="K275" s="101"/>
      <c r="L275" s="103"/>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row>
    <row r="276" spans="1:35" x14ac:dyDescent="0.25">
      <c r="A276" s="105"/>
      <c r="B276" s="25"/>
      <c r="C276" s="25"/>
      <c r="D276" s="101"/>
      <c r="E276" s="25"/>
      <c r="F276" s="44"/>
      <c r="G276" s="102"/>
      <c r="H276" s="101"/>
      <c r="I276" s="101"/>
      <c r="J276" s="101"/>
      <c r="K276" s="101"/>
      <c r="L276" s="103"/>
      <c r="M276" s="101"/>
      <c r="N276" s="101"/>
      <c r="O276" s="101"/>
      <c r="P276" s="101"/>
      <c r="Q276" s="101"/>
      <c r="R276" s="101"/>
      <c r="S276" s="101"/>
      <c r="T276" s="101"/>
      <c r="U276" s="101"/>
      <c r="V276" s="101"/>
      <c r="W276" s="101"/>
      <c r="X276" s="101"/>
      <c r="Y276" s="101"/>
      <c r="Z276" s="101"/>
      <c r="AA276" s="101"/>
      <c r="AB276" s="101"/>
      <c r="AC276" s="101"/>
      <c r="AD276" s="101"/>
      <c r="AE276" s="101"/>
      <c r="AF276" s="101"/>
      <c r="AG276" s="101"/>
      <c r="AH276" s="101"/>
      <c r="AI276" s="101"/>
    </row>
    <row r="277" spans="1:35" x14ac:dyDescent="0.25">
      <c r="A277" s="105"/>
      <c r="B277" s="25"/>
      <c r="C277" s="25"/>
      <c r="D277" s="101"/>
      <c r="E277" s="25"/>
      <c r="F277" s="44"/>
      <c r="G277" s="102"/>
      <c r="H277" s="101"/>
      <c r="I277" s="101"/>
      <c r="J277" s="101"/>
      <c r="K277" s="101"/>
      <c r="L277" s="103"/>
      <c r="M277" s="101"/>
      <c r="N277" s="101"/>
      <c r="O277" s="101"/>
      <c r="P277" s="101"/>
      <c r="Q277" s="101"/>
      <c r="R277" s="101"/>
      <c r="S277" s="101"/>
      <c r="T277" s="101"/>
      <c r="U277" s="101"/>
      <c r="V277" s="101"/>
      <c r="W277" s="101"/>
      <c r="X277" s="101"/>
      <c r="Y277" s="101"/>
      <c r="Z277" s="101"/>
      <c r="AA277" s="101"/>
      <c r="AB277" s="101"/>
      <c r="AC277" s="101"/>
      <c r="AD277" s="101"/>
      <c r="AE277" s="101"/>
      <c r="AF277" s="101"/>
      <c r="AG277" s="101"/>
      <c r="AH277" s="101"/>
      <c r="AI277" s="101"/>
    </row>
    <row r="278" spans="1:35" x14ac:dyDescent="0.25">
      <c r="A278" s="105"/>
      <c r="B278" s="25"/>
      <c r="C278" s="25"/>
      <c r="D278" s="101"/>
      <c r="E278" s="25"/>
      <c r="F278" s="44"/>
      <c r="G278" s="102"/>
      <c r="H278" s="101"/>
      <c r="I278" s="101"/>
      <c r="J278" s="101"/>
      <c r="K278" s="101"/>
      <c r="L278" s="103"/>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row>
    <row r="279" spans="1:35" x14ac:dyDescent="0.25">
      <c r="A279" s="105"/>
      <c r="B279" s="25"/>
      <c r="C279" s="25"/>
      <c r="D279" s="101"/>
      <c r="E279" s="25"/>
      <c r="F279" s="44"/>
      <c r="G279" s="102"/>
      <c r="H279" s="101"/>
      <c r="I279" s="101"/>
      <c r="J279" s="101"/>
      <c r="K279" s="101"/>
      <c r="L279" s="103"/>
      <c r="M279" s="101"/>
      <c r="N279" s="101"/>
      <c r="O279" s="101"/>
      <c r="P279" s="101"/>
      <c r="Q279" s="101"/>
      <c r="R279" s="101"/>
      <c r="S279" s="101"/>
      <c r="T279" s="101"/>
      <c r="U279" s="101"/>
      <c r="V279" s="101"/>
      <c r="W279" s="101"/>
      <c r="X279" s="101"/>
      <c r="Y279" s="101"/>
      <c r="Z279" s="101"/>
      <c r="AA279" s="101"/>
      <c r="AB279" s="101"/>
      <c r="AC279" s="101"/>
      <c r="AD279" s="101"/>
      <c r="AE279" s="101"/>
      <c r="AF279" s="101"/>
      <c r="AG279" s="101"/>
      <c r="AH279" s="101"/>
      <c r="AI279" s="101"/>
    </row>
    <row r="280" spans="1:35" x14ac:dyDescent="0.25">
      <c r="A280" s="105"/>
      <c r="B280" s="25"/>
      <c r="C280" s="25"/>
      <c r="D280" s="101"/>
      <c r="E280" s="25"/>
      <c r="F280" s="44"/>
      <c r="G280" s="102"/>
      <c r="H280" s="101"/>
      <c r="I280" s="101"/>
      <c r="J280" s="101"/>
      <c r="K280" s="101"/>
      <c r="L280" s="103"/>
      <c r="M280" s="101"/>
      <c r="N280" s="101"/>
      <c r="O280" s="101"/>
      <c r="P280" s="101"/>
      <c r="Q280" s="101"/>
      <c r="R280" s="101"/>
      <c r="S280" s="101"/>
      <c r="T280" s="101"/>
      <c r="U280" s="101"/>
      <c r="V280" s="101"/>
      <c r="W280" s="101"/>
      <c r="X280" s="101"/>
      <c r="Y280" s="101"/>
      <c r="Z280" s="101"/>
      <c r="AA280" s="101"/>
      <c r="AB280" s="101"/>
      <c r="AC280" s="101"/>
      <c r="AD280" s="101"/>
      <c r="AE280" s="101"/>
      <c r="AF280" s="101"/>
      <c r="AG280" s="101"/>
      <c r="AH280" s="101"/>
      <c r="AI280" s="101"/>
    </row>
    <row r="281" spans="1:35" x14ac:dyDescent="0.25">
      <c r="A281" s="105"/>
      <c r="B281" s="25"/>
      <c r="C281" s="25"/>
      <c r="D281" s="101"/>
      <c r="E281" s="25"/>
      <c r="F281" s="44"/>
      <c r="G281" s="102"/>
      <c r="H281" s="101"/>
      <c r="I281" s="101"/>
      <c r="J281" s="101"/>
      <c r="K281" s="101"/>
      <c r="L281" s="103"/>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row>
    <row r="282" spans="1:35" x14ac:dyDescent="0.25">
      <c r="A282" s="105"/>
      <c r="B282" s="25"/>
      <c r="C282" s="25"/>
      <c r="D282" s="101"/>
      <c r="E282" s="25"/>
      <c r="F282" s="44"/>
      <c r="G282" s="102"/>
      <c r="H282" s="101"/>
      <c r="I282" s="101"/>
      <c r="J282" s="101"/>
      <c r="K282" s="101"/>
      <c r="L282" s="103"/>
      <c r="M282" s="101"/>
      <c r="N282" s="101"/>
      <c r="O282" s="101"/>
      <c r="P282" s="101"/>
      <c r="Q282" s="101"/>
      <c r="R282" s="101"/>
      <c r="S282" s="101"/>
      <c r="T282" s="101"/>
      <c r="U282" s="101"/>
      <c r="V282" s="101"/>
      <c r="W282" s="101"/>
      <c r="X282" s="101"/>
      <c r="Y282" s="101"/>
      <c r="Z282" s="101"/>
      <c r="AA282" s="101"/>
      <c r="AB282" s="101"/>
      <c r="AC282" s="101"/>
      <c r="AD282" s="101"/>
      <c r="AE282" s="101"/>
      <c r="AF282" s="101"/>
      <c r="AG282" s="101"/>
      <c r="AH282" s="101"/>
      <c r="AI282" s="101"/>
    </row>
    <row r="283" spans="1:35" x14ac:dyDescent="0.25">
      <c r="A283" s="105"/>
      <c r="B283" s="25"/>
      <c r="C283" s="25"/>
      <c r="D283" s="101"/>
      <c r="E283" s="25"/>
      <c r="F283" s="44"/>
      <c r="G283" s="102"/>
      <c r="H283" s="101"/>
      <c r="I283" s="101"/>
      <c r="J283" s="101"/>
      <c r="K283" s="101"/>
      <c r="L283" s="103"/>
      <c r="M283" s="101"/>
      <c r="N283" s="101"/>
      <c r="O283" s="101"/>
      <c r="P283" s="101"/>
      <c r="Q283" s="101"/>
      <c r="R283" s="101"/>
      <c r="S283" s="101"/>
      <c r="T283" s="101"/>
      <c r="U283" s="101"/>
      <c r="V283" s="101"/>
      <c r="W283" s="101"/>
      <c r="X283" s="101"/>
      <c r="Y283" s="101"/>
      <c r="Z283" s="101"/>
      <c r="AA283" s="101"/>
      <c r="AB283" s="101"/>
      <c r="AC283" s="101"/>
      <c r="AD283" s="101"/>
      <c r="AE283" s="101"/>
      <c r="AF283" s="101"/>
      <c r="AG283" s="101"/>
      <c r="AH283" s="101"/>
      <c r="AI283" s="101"/>
    </row>
    <row r="284" spans="1:35" x14ac:dyDescent="0.25">
      <c r="A284" s="105"/>
      <c r="B284" s="25"/>
      <c r="C284" s="25"/>
      <c r="D284" s="101"/>
      <c r="E284" s="25"/>
      <c r="F284" s="44"/>
      <c r="G284" s="102"/>
      <c r="H284" s="101"/>
      <c r="I284" s="101"/>
      <c r="J284" s="101"/>
      <c r="K284" s="101"/>
      <c r="L284" s="103"/>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row>
    <row r="285" spans="1:35" x14ac:dyDescent="0.25">
      <c r="A285" s="105"/>
      <c r="B285" s="25"/>
      <c r="C285" s="25"/>
      <c r="D285" s="101"/>
      <c r="E285" s="25"/>
      <c r="F285" s="44"/>
      <c r="G285" s="102"/>
      <c r="H285" s="101"/>
      <c r="I285" s="101"/>
      <c r="J285" s="101"/>
      <c r="K285" s="101"/>
      <c r="L285" s="103"/>
      <c r="M285" s="101"/>
      <c r="N285" s="101"/>
      <c r="O285" s="101"/>
      <c r="P285" s="101"/>
      <c r="Q285" s="101"/>
      <c r="R285" s="101"/>
      <c r="S285" s="101"/>
      <c r="T285" s="101"/>
      <c r="U285" s="101"/>
      <c r="V285" s="101"/>
      <c r="W285" s="101"/>
      <c r="X285" s="101"/>
      <c r="Y285" s="101"/>
      <c r="Z285" s="101"/>
      <c r="AA285" s="101"/>
      <c r="AB285" s="101"/>
      <c r="AC285" s="101"/>
      <c r="AD285" s="101"/>
      <c r="AE285" s="101"/>
      <c r="AF285" s="101"/>
      <c r="AG285" s="101"/>
      <c r="AH285" s="101"/>
      <c r="AI285" s="101"/>
    </row>
    <row r="286" spans="1:35" x14ac:dyDescent="0.25">
      <c r="A286" s="105"/>
      <c r="B286" s="25"/>
      <c r="C286" s="25"/>
      <c r="D286" s="101"/>
      <c r="E286" s="25"/>
      <c r="F286" s="44"/>
      <c r="G286" s="102"/>
      <c r="H286" s="101"/>
      <c r="I286" s="101"/>
      <c r="J286" s="101"/>
      <c r="K286" s="101"/>
      <c r="L286" s="103"/>
      <c r="M286" s="101"/>
      <c r="N286" s="101"/>
      <c r="O286" s="101"/>
      <c r="P286" s="101"/>
      <c r="Q286" s="101"/>
      <c r="R286" s="101"/>
      <c r="S286" s="101"/>
      <c r="T286" s="101"/>
      <c r="U286" s="101"/>
      <c r="V286" s="101"/>
      <c r="W286" s="101"/>
      <c r="X286" s="101"/>
      <c r="Y286" s="101"/>
      <c r="Z286" s="101"/>
      <c r="AA286" s="101"/>
      <c r="AB286" s="101"/>
      <c r="AC286" s="101"/>
      <c r="AD286" s="101"/>
      <c r="AE286" s="101"/>
      <c r="AF286" s="101"/>
      <c r="AG286" s="101"/>
      <c r="AH286" s="101"/>
      <c r="AI286" s="101"/>
    </row>
    <row r="287" spans="1:35" x14ac:dyDescent="0.25">
      <c r="A287" s="105"/>
      <c r="B287" s="25"/>
      <c r="C287" s="25"/>
      <c r="D287" s="101"/>
      <c r="E287" s="25"/>
      <c r="F287" s="44"/>
      <c r="G287" s="102"/>
      <c r="H287" s="101"/>
      <c r="I287" s="101"/>
      <c r="J287" s="101"/>
      <c r="K287" s="101"/>
      <c r="L287" s="103"/>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row>
    <row r="288" spans="1:35" x14ac:dyDescent="0.25">
      <c r="A288" s="105"/>
      <c r="B288" s="25"/>
      <c r="C288" s="25"/>
      <c r="D288" s="101"/>
      <c r="E288" s="25"/>
      <c r="F288" s="44"/>
      <c r="G288" s="102"/>
      <c r="H288" s="101"/>
      <c r="I288" s="101"/>
      <c r="J288" s="101"/>
      <c r="K288" s="101"/>
      <c r="L288" s="103"/>
      <c r="M288" s="101"/>
      <c r="N288" s="101"/>
      <c r="O288" s="101"/>
      <c r="P288" s="101"/>
      <c r="Q288" s="101"/>
      <c r="R288" s="101"/>
      <c r="S288" s="101"/>
      <c r="T288" s="101"/>
      <c r="U288" s="101"/>
      <c r="V288" s="101"/>
      <c r="W288" s="101"/>
      <c r="X288" s="101"/>
      <c r="Y288" s="101"/>
      <c r="Z288" s="101"/>
      <c r="AA288" s="101"/>
      <c r="AB288" s="101"/>
      <c r="AC288" s="101"/>
      <c r="AD288" s="101"/>
      <c r="AE288" s="101"/>
      <c r="AF288" s="101"/>
      <c r="AG288" s="101"/>
      <c r="AH288" s="101"/>
      <c r="AI288" s="101"/>
    </row>
    <row r="289" spans="1:35" x14ac:dyDescent="0.25">
      <c r="A289" s="105"/>
      <c r="B289" s="25"/>
      <c r="C289" s="25"/>
      <c r="D289" s="101"/>
      <c r="E289" s="25"/>
      <c r="F289" s="44"/>
      <c r="G289" s="102"/>
      <c r="H289" s="101"/>
      <c r="I289" s="101"/>
      <c r="J289" s="101"/>
      <c r="K289" s="101"/>
      <c r="L289" s="103"/>
      <c r="M289" s="101"/>
      <c r="N289" s="101"/>
      <c r="O289" s="101"/>
      <c r="P289" s="101"/>
      <c r="Q289" s="101"/>
      <c r="R289" s="101"/>
      <c r="S289" s="101"/>
      <c r="T289" s="101"/>
      <c r="U289" s="101"/>
      <c r="V289" s="101"/>
      <c r="W289" s="101"/>
      <c r="X289" s="101"/>
      <c r="Y289" s="101"/>
      <c r="Z289" s="101"/>
      <c r="AA289" s="101"/>
      <c r="AB289" s="101"/>
      <c r="AC289" s="101"/>
      <c r="AD289" s="101"/>
      <c r="AE289" s="101"/>
      <c r="AF289" s="101"/>
      <c r="AG289" s="101"/>
      <c r="AH289" s="101"/>
      <c r="AI289" s="101"/>
    </row>
    <row r="290" spans="1:35" x14ac:dyDescent="0.25">
      <c r="A290" s="105"/>
      <c r="B290" s="25"/>
      <c r="C290" s="25"/>
      <c r="D290" s="101"/>
      <c r="E290" s="25"/>
      <c r="F290" s="44"/>
      <c r="G290" s="102"/>
      <c r="H290" s="101"/>
      <c r="I290" s="101"/>
      <c r="J290" s="101"/>
      <c r="K290" s="101"/>
      <c r="L290" s="103"/>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row>
    <row r="291" spans="1:35" x14ac:dyDescent="0.25">
      <c r="A291" s="105"/>
      <c r="B291" s="25"/>
      <c r="C291" s="25"/>
      <c r="D291" s="101"/>
      <c r="E291" s="25"/>
      <c r="F291" s="44"/>
      <c r="G291" s="102"/>
      <c r="H291" s="101"/>
      <c r="I291" s="101"/>
      <c r="J291" s="101"/>
      <c r="K291" s="101"/>
      <c r="L291" s="103"/>
      <c r="M291" s="101"/>
      <c r="N291" s="101"/>
      <c r="O291" s="101"/>
      <c r="P291" s="101"/>
      <c r="Q291" s="101"/>
      <c r="R291" s="101"/>
      <c r="S291" s="101"/>
      <c r="T291" s="101"/>
      <c r="U291" s="101"/>
      <c r="V291" s="101"/>
      <c r="W291" s="101"/>
      <c r="X291" s="101"/>
      <c r="Y291" s="101"/>
      <c r="Z291" s="101"/>
      <c r="AA291" s="101"/>
      <c r="AB291" s="101"/>
      <c r="AC291" s="101"/>
      <c r="AD291" s="101"/>
      <c r="AE291" s="101"/>
      <c r="AF291" s="101"/>
      <c r="AG291" s="101"/>
      <c r="AH291" s="101"/>
      <c r="AI291" s="101"/>
    </row>
    <row r="292" spans="1:35" x14ac:dyDescent="0.25">
      <c r="A292" s="105"/>
      <c r="B292" s="25"/>
      <c r="C292" s="25"/>
      <c r="D292" s="101"/>
      <c r="E292" s="25"/>
      <c r="F292" s="44"/>
      <c r="G292" s="102"/>
      <c r="H292" s="101"/>
      <c r="I292" s="101"/>
      <c r="J292" s="101"/>
      <c r="K292" s="101"/>
      <c r="L292" s="103"/>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row>
    <row r="293" spans="1:35" x14ac:dyDescent="0.25">
      <c r="A293" s="105"/>
      <c r="B293" s="25"/>
      <c r="C293" s="25"/>
      <c r="D293" s="101"/>
      <c r="E293" s="25"/>
      <c r="F293" s="44"/>
      <c r="G293" s="102"/>
      <c r="H293" s="101"/>
      <c r="I293" s="101"/>
      <c r="J293" s="101"/>
      <c r="K293" s="101"/>
      <c r="L293" s="103"/>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row>
    <row r="294" spans="1:35" x14ac:dyDescent="0.25">
      <c r="A294" s="105"/>
      <c r="B294" s="25"/>
      <c r="C294" s="25"/>
      <c r="D294" s="101"/>
      <c r="E294" s="25"/>
      <c r="F294" s="44"/>
      <c r="G294" s="102"/>
      <c r="H294" s="101"/>
      <c r="I294" s="101"/>
      <c r="J294" s="101"/>
      <c r="K294" s="101"/>
      <c r="L294" s="103"/>
      <c r="M294" s="101"/>
      <c r="N294" s="101"/>
      <c r="O294" s="101"/>
      <c r="P294" s="101"/>
      <c r="Q294" s="101"/>
      <c r="R294" s="101"/>
      <c r="S294" s="101"/>
      <c r="T294" s="101"/>
      <c r="U294" s="101"/>
      <c r="V294" s="101"/>
      <c r="W294" s="101"/>
      <c r="X294" s="101"/>
      <c r="Y294" s="101"/>
      <c r="Z294" s="101"/>
      <c r="AA294" s="101"/>
      <c r="AB294" s="101"/>
      <c r="AC294" s="101"/>
      <c r="AD294" s="101"/>
      <c r="AE294" s="101"/>
      <c r="AF294" s="101"/>
      <c r="AG294" s="101"/>
      <c r="AH294" s="101"/>
      <c r="AI294" s="101"/>
    </row>
    <row r="295" spans="1:35" x14ac:dyDescent="0.25">
      <c r="A295" s="105"/>
      <c r="B295" s="25"/>
      <c r="C295" s="25"/>
      <c r="D295" s="101"/>
      <c r="E295" s="25"/>
      <c r="F295" s="44"/>
      <c r="G295" s="102"/>
      <c r="H295" s="101"/>
      <c r="I295" s="101"/>
      <c r="J295" s="101"/>
      <c r="K295" s="101"/>
      <c r="L295" s="103"/>
      <c r="M295" s="101"/>
      <c r="N295" s="101"/>
      <c r="O295" s="101"/>
      <c r="P295" s="101"/>
      <c r="Q295" s="101"/>
      <c r="R295" s="101"/>
      <c r="S295" s="101"/>
      <c r="T295" s="101"/>
      <c r="U295" s="101"/>
      <c r="V295" s="101"/>
      <c r="W295" s="101"/>
      <c r="X295" s="101"/>
      <c r="Y295" s="101"/>
      <c r="Z295" s="101"/>
      <c r="AA295" s="101"/>
      <c r="AB295" s="101"/>
      <c r="AC295" s="101"/>
      <c r="AD295" s="101"/>
      <c r="AE295" s="101"/>
      <c r="AF295" s="101"/>
      <c r="AG295" s="101"/>
      <c r="AH295" s="101"/>
      <c r="AI295" s="101"/>
    </row>
    <row r="296" spans="1:35" x14ac:dyDescent="0.25">
      <c r="A296" s="105"/>
      <c r="B296" s="25"/>
      <c r="C296" s="25"/>
      <c r="D296" s="101"/>
      <c r="E296" s="25"/>
      <c r="F296" s="44"/>
      <c r="G296" s="102"/>
      <c r="H296" s="101"/>
      <c r="I296" s="101"/>
      <c r="J296" s="101"/>
      <c r="K296" s="101"/>
      <c r="L296" s="103"/>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row>
    <row r="297" spans="1:35" x14ac:dyDescent="0.25">
      <c r="A297" s="105"/>
      <c r="B297" s="25"/>
      <c r="C297" s="25"/>
      <c r="D297" s="101"/>
      <c r="E297" s="25"/>
      <c r="F297" s="44"/>
      <c r="G297" s="102"/>
      <c r="H297" s="101"/>
      <c r="I297" s="101"/>
      <c r="J297" s="101"/>
      <c r="K297" s="101"/>
      <c r="L297" s="103"/>
      <c r="M297" s="101"/>
      <c r="N297" s="101"/>
      <c r="O297" s="101"/>
      <c r="P297" s="101"/>
      <c r="Q297" s="101"/>
      <c r="R297" s="101"/>
      <c r="S297" s="101"/>
      <c r="T297" s="101"/>
      <c r="U297" s="101"/>
      <c r="V297" s="101"/>
      <c r="W297" s="101"/>
      <c r="X297" s="101"/>
      <c r="Y297" s="101"/>
      <c r="Z297" s="101"/>
      <c r="AA297" s="101"/>
      <c r="AB297" s="101"/>
      <c r="AC297" s="101"/>
      <c r="AD297" s="101"/>
      <c r="AE297" s="101"/>
      <c r="AF297" s="101"/>
      <c r="AG297" s="101"/>
      <c r="AH297" s="101"/>
      <c r="AI297" s="101"/>
    </row>
    <row r="298" spans="1:35" x14ac:dyDescent="0.25">
      <c r="A298" s="105"/>
      <c r="B298" s="25"/>
      <c r="C298" s="25"/>
      <c r="D298" s="101"/>
      <c r="E298" s="25"/>
      <c r="F298" s="44"/>
      <c r="G298" s="102"/>
      <c r="H298" s="101"/>
      <c r="I298" s="101"/>
      <c r="J298" s="101"/>
      <c r="K298" s="101"/>
      <c r="L298" s="103"/>
      <c r="M298" s="101"/>
      <c r="N298" s="101"/>
      <c r="O298" s="101"/>
      <c r="P298" s="101"/>
      <c r="Q298" s="101"/>
      <c r="R298" s="101"/>
      <c r="S298" s="101"/>
      <c r="T298" s="101"/>
      <c r="U298" s="101"/>
      <c r="V298" s="101"/>
      <c r="W298" s="101"/>
      <c r="X298" s="101"/>
      <c r="Y298" s="101"/>
      <c r="Z298" s="101"/>
      <c r="AA298" s="101"/>
      <c r="AB298" s="101"/>
      <c r="AC298" s="101"/>
      <c r="AD298" s="101"/>
      <c r="AE298" s="101"/>
      <c r="AF298" s="101"/>
      <c r="AG298" s="101"/>
      <c r="AH298" s="101"/>
      <c r="AI298" s="101"/>
    </row>
    <row r="299" spans="1:35" x14ac:dyDescent="0.25">
      <c r="A299" s="105"/>
      <c r="B299" s="25"/>
      <c r="C299" s="25"/>
      <c r="D299" s="101"/>
      <c r="E299" s="25"/>
      <c r="F299" s="44"/>
      <c r="G299" s="102"/>
      <c r="H299" s="101"/>
      <c r="I299" s="101"/>
      <c r="J299" s="101"/>
      <c r="K299" s="101"/>
      <c r="L299" s="103"/>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row>
    <row r="300" spans="1:35" x14ac:dyDescent="0.25">
      <c r="A300" s="105"/>
      <c r="B300" s="25"/>
      <c r="C300" s="25"/>
      <c r="D300" s="101"/>
      <c r="E300" s="25"/>
      <c r="F300" s="44"/>
      <c r="G300" s="102"/>
      <c r="H300" s="101"/>
      <c r="I300" s="101"/>
      <c r="J300" s="101"/>
      <c r="K300" s="101"/>
      <c r="L300" s="103"/>
      <c r="M300" s="101"/>
      <c r="N300" s="101"/>
      <c r="O300" s="101"/>
      <c r="P300" s="101"/>
      <c r="Q300" s="101"/>
      <c r="R300" s="101"/>
      <c r="S300" s="101"/>
      <c r="T300" s="101"/>
      <c r="U300" s="101"/>
      <c r="V300" s="101"/>
      <c r="W300" s="101"/>
      <c r="X300" s="101"/>
      <c r="Y300" s="101"/>
      <c r="Z300" s="101"/>
      <c r="AA300" s="101"/>
      <c r="AB300" s="101"/>
      <c r="AC300" s="101"/>
      <c r="AD300" s="101"/>
      <c r="AE300" s="101"/>
      <c r="AF300" s="101"/>
      <c r="AG300" s="101"/>
      <c r="AH300" s="101"/>
      <c r="AI300" s="101"/>
    </row>
    <row r="301" spans="1:35" x14ac:dyDescent="0.25">
      <c r="A301" s="105"/>
      <c r="B301" s="25"/>
      <c r="C301" s="25"/>
      <c r="D301" s="101"/>
      <c r="E301" s="25"/>
      <c r="F301" s="44"/>
      <c r="G301" s="102"/>
      <c r="H301" s="101"/>
      <c r="I301" s="101"/>
      <c r="J301" s="101"/>
      <c r="K301" s="101"/>
      <c r="L301" s="103"/>
      <c r="M301" s="101"/>
      <c r="N301" s="101"/>
      <c r="O301" s="101"/>
      <c r="P301" s="101"/>
      <c r="Q301" s="101"/>
      <c r="R301" s="101"/>
      <c r="S301" s="101"/>
      <c r="T301" s="101"/>
      <c r="U301" s="101"/>
      <c r="V301" s="101"/>
      <c r="W301" s="101"/>
      <c r="X301" s="101"/>
      <c r="Y301" s="101"/>
      <c r="Z301" s="101"/>
      <c r="AA301" s="101"/>
      <c r="AB301" s="101"/>
      <c r="AC301" s="101"/>
      <c r="AD301" s="101"/>
      <c r="AE301" s="101"/>
      <c r="AF301" s="101"/>
      <c r="AG301" s="101"/>
      <c r="AH301" s="101"/>
      <c r="AI301" s="101"/>
    </row>
    <row r="302" spans="1:35" x14ac:dyDescent="0.25">
      <c r="A302" s="105"/>
      <c r="B302" s="25"/>
      <c r="C302" s="25"/>
      <c r="D302" s="101"/>
      <c r="E302" s="25"/>
      <c r="F302" s="44"/>
      <c r="G302" s="102"/>
      <c r="H302" s="101"/>
      <c r="I302" s="101"/>
      <c r="J302" s="101"/>
      <c r="K302" s="101"/>
      <c r="L302" s="103"/>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row>
    <row r="303" spans="1:35" x14ac:dyDescent="0.25">
      <c r="A303" s="105"/>
      <c r="B303" s="25"/>
      <c r="C303" s="25"/>
      <c r="D303" s="101"/>
      <c r="E303" s="25"/>
      <c r="F303" s="44"/>
      <c r="G303" s="102"/>
      <c r="H303" s="101"/>
      <c r="I303" s="101"/>
      <c r="J303" s="101"/>
      <c r="K303" s="101"/>
      <c r="L303" s="103"/>
      <c r="M303" s="101"/>
      <c r="N303" s="101"/>
      <c r="O303" s="101"/>
      <c r="P303" s="101"/>
      <c r="Q303" s="101"/>
      <c r="R303" s="101"/>
      <c r="S303" s="101"/>
      <c r="T303" s="101"/>
      <c r="U303" s="101"/>
      <c r="V303" s="101"/>
      <c r="W303" s="101"/>
      <c r="X303" s="101"/>
      <c r="Y303" s="101"/>
      <c r="Z303" s="101"/>
      <c r="AA303" s="101"/>
      <c r="AB303" s="101"/>
      <c r="AC303" s="101"/>
      <c r="AD303" s="101"/>
      <c r="AE303" s="101"/>
      <c r="AF303" s="101"/>
      <c r="AG303" s="101"/>
      <c r="AH303" s="101"/>
      <c r="AI303" s="101"/>
    </row>
    <row r="304" spans="1:35" x14ac:dyDescent="0.25">
      <c r="A304" s="105"/>
      <c r="B304" s="25"/>
      <c r="C304" s="25"/>
      <c r="D304" s="101"/>
      <c r="E304" s="25"/>
      <c r="F304" s="44"/>
      <c r="G304" s="102"/>
      <c r="H304" s="101"/>
      <c r="I304" s="101"/>
      <c r="J304" s="101"/>
      <c r="K304" s="101"/>
      <c r="L304" s="103"/>
      <c r="M304" s="101"/>
      <c r="N304" s="101"/>
      <c r="O304" s="101"/>
      <c r="P304" s="101"/>
      <c r="Q304" s="101"/>
      <c r="R304" s="101"/>
      <c r="S304" s="101"/>
      <c r="T304" s="101"/>
      <c r="U304" s="101"/>
      <c r="V304" s="101"/>
      <c r="W304" s="101"/>
      <c r="X304" s="101"/>
      <c r="Y304" s="101"/>
      <c r="Z304" s="101"/>
      <c r="AA304" s="101"/>
      <c r="AB304" s="101"/>
      <c r="AC304" s="101"/>
      <c r="AD304" s="101"/>
      <c r="AE304" s="101"/>
      <c r="AF304" s="101"/>
      <c r="AG304" s="101"/>
      <c r="AH304" s="101"/>
      <c r="AI304" s="101"/>
    </row>
    <row r="305" spans="1:35" x14ac:dyDescent="0.25">
      <c r="A305" s="105"/>
      <c r="B305" s="25"/>
      <c r="C305" s="25"/>
      <c r="D305" s="101"/>
      <c r="E305" s="25"/>
      <c r="F305" s="44"/>
      <c r="G305" s="102"/>
      <c r="H305" s="101"/>
      <c r="I305" s="101"/>
      <c r="J305" s="101"/>
      <c r="K305" s="101"/>
      <c r="L305" s="103"/>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row>
    <row r="306" spans="1:35" x14ac:dyDescent="0.25">
      <c r="A306" s="105"/>
      <c r="B306" s="25"/>
      <c r="C306" s="25"/>
      <c r="D306" s="101"/>
      <c r="E306" s="25"/>
      <c r="F306" s="44"/>
      <c r="G306" s="102"/>
      <c r="H306" s="101"/>
      <c r="I306" s="101"/>
      <c r="J306" s="101"/>
      <c r="K306" s="101"/>
      <c r="L306" s="103"/>
      <c r="M306" s="101"/>
      <c r="N306" s="101"/>
      <c r="O306" s="101"/>
      <c r="P306" s="101"/>
      <c r="Q306" s="101"/>
      <c r="R306" s="101"/>
      <c r="S306" s="101"/>
      <c r="T306" s="101"/>
      <c r="U306" s="101"/>
      <c r="V306" s="101"/>
      <c r="W306" s="101"/>
      <c r="X306" s="101"/>
      <c r="Y306" s="101"/>
      <c r="Z306" s="101"/>
      <c r="AA306" s="101"/>
      <c r="AB306" s="101"/>
      <c r="AC306" s="101"/>
      <c r="AD306" s="101"/>
      <c r="AE306" s="101"/>
      <c r="AF306" s="101"/>
      <c r="AG306" s="101"/>
      <c r="AH306" s="101"/>
      <c r="AI306" s="101"/>
    </row>
    <row r="307" spans="1:35" x14ac:dyDescent="0.25">
      <c r="A307" s="105"/>
      <c r="B307" s="25"/>
      <c r="C307" s="25"/>
      <c r="D307" s="101"/>
      <c r="E307" s="25"/>
      <c r="F307" s="44"/>
      <c r="G307" s="102"/>
      <c r="H307" s="101"/>
      <c r="I307" s="101"/>
      <c r="J307" s="101"/>
      <c r="K307" s="101"/>
      <c r="L307" s="103"/>
      <c r="M307" s="101"/>
      <c r="N307" s="101"/>
      <c r="O307" s="101"/>
      <c r="P307" s="101"/>
      <c r="Q307" s="101"/>
      <c r="R307" s="101"/>
      <c r="S307" s="101"/>
      <c r="T307" s="101"/>
      <c r="U307" s="101"/>
      <c r="V307" s="101"/>
      <c r="W307" s="101"/>
      <c r="X307" s="101"/>
      <c r="Y307" s="101"/>
      <c r="Z307" s="101"/>
      <c r="AA307" s="101"/>
      <c r="AB307" s="101"/>
      <c r="AC307" s="101"/>
      <c r="AD307" s="101"/>
      <c r="AE307" s="101"/>
      <c r="AF307" s="101"/>
      <c r="AG307" s="101"/>
      <c r="AH307" s="101"/>
      <c r="AI307" s="101"/>
    </row>
    <row r="308" spans="1:35" x14ac:dyDescent="0.25">
      <c r="A308" s="105"/>
      <c r="B308" s="25"/>
      <c r="C308" s="25"/>
      <c r="D308" s="101"/>
      <c r="E308" s="25"/>
      <c r="F308" s="44"/>
      <c r="G308" s="102"/>
      <c r="H308" s="101"/>
      <c r="I308" s="101"/>
      <c r="J308" s="101"/>
      <c r="K308" s="101"/>
      <c r="L308" s="103"/>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row>
    <row r="309" spans="1:35" x14ac:dyDescent="0.25">
      <c r="A309" s="105"/>
      <c r="B309" s="25"/>
      <c r="C309" s="25"/>
      <c r="D309" s="101"/>
      <c r="E309" s="25"/>
      <c r="F309" s="44"/>
      <c r="G309" s="102"/>
      <c r="H309" s="101"/>
      <c r="I309" s="101"/>
      <c r="J309" s="101"/>
      <c r="K309" s="101"/>
      <c r="L309" s="103"/>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row>
    <row r="310" spans="1:35" x14ac:dyDescent="0.25">
      <c r="A310" s="105"/>
      <c r="B310" s="25"/>
      <c r="C310" s="25"/>
      <c r="D310" s="101"/>
      <c r="E310" s="25"/>
      <c r="F310" s="44"/>
      <c r="G310" s="102"/>
      <c r="H310" s="101"/>
      <c r="I310" s="101"/>
      <c r="J310" s="101"/>
      <c r="K310" s="101"/>
      <c r="L310" s="103"/>
      <c r="M310" s="101"/>
      <c r="N310" s="101"/>
      <c r="O310" s="101"/>
      <c r="P310" s="101"/>
      <c r="Q310" s="101"/>
      <c r="R310" s="101"/>
      <c r="S310" s="101"/>
      <c r="T310" s="101"/>
      <c r="U310" s="101"/>
      <c r="V310" s="101"/>
      <c r="W310" s="101"/>
      <c r="X310" s="101"/>
      <c r="Y310" s="101"/>
      <c r="Z310" s="101"/>
      <c r="AA310" s="101"/>
      <c r="AB310" s="101"/>
      <c r="AC310" s="101"/>
      <c r="AD310" s="101"/>
      <c r="AE310" s="101"/>
      <c r="AF310" s="101"/>
      <c r="AG310" s="101"/>
      <c r="AH310" s="101"/>
      <c r="AI310" s="101"/>
    </row>
    <row r="311" spans="1:35" x14ac:dyDescent="0.25">
      <c r="A311" s="105"/>
      <c r="B311" s="25"/>
      <c r="C311" s="25"/>
      <c r="D311" s="101"/>
      <c r="E311" s="25"/>
      <c r="F311" s="44"/>
      <c r="G311" s="102"/>
      <c r="H311" s="101"/>
      <c r="I311" s="101"/>
      <c r="J311" s="101"/>
      <c r="K311" s="101"/>
      <c r="L311" s="103"/>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row>
    <row r="312" spans="1:35" x14ac:dyDescent="0.25">
      <c r="A312" s="105"/>
      <c r="B312" s="25"/>
      <c r="C312" s="25"/>
      <c r="D312" s="101"/>
      <c r="E312" s="25"/>
      <c r="F312" s="44"/>
      <c r="G312" s="102"/>
      <c r="H312" s="101"/>
      <c r="I312" s="101"/>
      <c r="J312" s="101"/>
      <c r="K312" s="101"/>
      <c r="L312" s="103"/>
      <c r="M312" s="101"/>
      <c r="N312" s="101"/>
      <c r="O312" s="101"/>
      <c r="P312" s="101"/>
      <c r="Q312" s="101"/>
      <c r="R312" s="101"/>
      <c r="S312" s="101"/>
      <c r="T312" s="101"/>
      <c r="U312" s="101"/>
      <c r="V312" s="101"/>
      <c r="W312" s="101"/>
      <c r="X312" s="101"/>
      <c r="Y312" s="101"/>
      <c r="Z312" s="101"/>
      <c r="AA312" s="101"/>
      <c r="AB312" s="101"/>
      <c r="AC312" s="101"/>
      <c r="AD312" s="101"/>
      <c r="AE312" s="101"/>
      <c r="AF312" s="101"/>
      <c r="AG312" s="101"/>
      <c r="AH312" s="101"/>
      <c r="AI312" s="101"/>
    </row>
    <row r="313" spans="1:35" x14ac:dyDescent="0.25">
      <c r="A313" s="105"/>
      <c r="B313" s="25"/>
      <c r="C313" s="25"/>
      <c r="D313" s="101"/>
      <c r="E313" s="25"/>
      <c r="F313" s="44"/>
      <c r="G313" s="102"/>
      <c r="H313" s="101"/>
      <c r="I313" s="101"/>
      <c r="J313" s="101"/>
      <c r="K313" s="101"/>
      <c r="L313" s="103"/>
      <c r="M313" s="101"/>
      <c r="N313" s="101"/>
      <c r="O313" s="101"/>
      <c r="P313" s="101"/>
      <c r="Q313" s="101"/>
      <c r="R313" s="101"/>
      <c r="S313" s="101"/>
      <c r="T313" s="101"/>
      <c r="U313" s="101"/>
      <c r="V313" s="101"/>
      <c r="W313" s="101"/>
      <c r="X313" s="101"/>
      <c r="Y313" s="101"/>
      <c r="Z313" s="101"/>
      <c r="AA313" s="101"/>
      <c r="AB313" s="101"/>
      <c r="AC313" s="101"/>
      <c r="AD313" s="101"/>
      <c r="AE313" s="101"/>
      <c r="AF313" s="101"/>
      <c r="AG313" s="101"/>
      <c r="AH313" s="101"/>
      <c r="AI313" s="101"/>
    </row>
    <row r="314" spans="1:35" x14ac:dyDescent="0.25">
      <c r="A314" s="105"/>
      <c r="B314" s="25"/>
      <c r="C314" s="25"/>
      <c r="D314" s="101"/>
      <c r="E314" s="25"/>
      <c r="F314" s="44"/>
      <c r="G314" s="102"/>
      <c r="H314" s="101"/>
      <c r="I314" s="101"/>
      <c r="J314" s="101"/>
      <c r="K314" s="101"/>
      <c r="L314" s="103"/>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row>
    <row r="315" spans="1:35" x14ac:dyDescent="0.25">
      <c r="A315" s="105"/>
      <c r="B315" s="25"/>
      <c r="C315" s="25"/>
      <c r="D315" s="101"/>
      <c r="E315" s="25"/>
      <c r="F315" s="44"/>
      <c r="G315" s="102"/>
      <c r="H315" s="101"/>
      <c r="I315" s="101"/>
      <c r="J315" s="101"/>
      <c r="K315" s="101"/>
      <c r="L315" s="103"/>
      <c r="M315" s="101"/>
      <c r="N315" s="101"/>
      <c r="O315" s="101"/>
      <c r="P315" s="101"/>
      <c r="Q315" s="101"/>
      <c r="R315" s="101"/>
      <c r="S315" s="101"/>
      <c r="T315" s="101"/>
      <c r="U315" s="101"/>
      <c r="V315" s="101"/>
      <c r="W315" s="101"/>
      <c r="X315" s="101"/>
      <c r="Y315" s="101"/>
      <c r="Z315" s="101"/>
      <c r="AA315" s="101"/>
      <c r="AB315" s="101"/>
      <c r="AC315" s="101"/>
      <c r="AD315" s="101"/>
      <c r="AE315" s="101"/>
      <c r="AF315" s="101"/>
      <c r="AG315" s="101"/>
      <c r="AH315" s="101"/>
      <c r="AI315" s="101"/>
    </row>
    <row r="316" spans="1:35" x14ac:dyDescent="0.25">
      <c r="A316" s="105"/>
      <c r="B316" s="25"/>
      <c r="C316" s="25"/>
      <c r="D316" s="101"/>
      <c r="E316" s="25"/>
      <c r="F316" s="44"/>
      <c r="G316" s="102"/>
      <c r="H316" s="101"/>
      <c r="I316" s="101"/>
      <c r="J316" s="101"/>
      <c r="K316" s="101"/>
      <c r="L316" s="103"/>
      <c r="M316" s="101"/>
      <c r="N316" s="101"/>
      <c r="O316" s="101"/>
      <c r="P316" s="101"/>
      <c r="Q316" s="101"/>
      <c r="R316" s="101"/>
      <c r="S316" s="101"/>
      <c r="T316" s="101"/>
      <c r="U316" s="101"/>
      <c r="V316" s="101"/>
      <c r="W316" s="101"/>
      <c r="X316" s="101"/>
      <c r="Y316" s="101"/>
      <c r="Z316" s="101"/>
      <c r="AA316" s="101"/>
      <c r="AB316" s="101"/>
      <c r="AC316" s="101"/>
      <c r="AD316" s="101"/>
      <c r="AE316" s="101"/>
      <c r="AF316" s="101"/>
      <c r="AG316" s="101"/>
      <c r="AH316" s="101"/>
      <c r="AI316" s="101"/>
    </row>
    <row r="317" spans="1:35" x14ac:dyDescent="0.25">
      <c r="A317" s="105"/>
      <c r="B317" s="25"/>
      <c r="C317" s="25"/>
      <c r="D317" s="101"/>
      <c r="E317" s="25"/>
      <c r="F317" s="44"/>
      <c r="G317" s="102"/>
      <c r="H317" s="101"/>
      <c r="I317" s="101"/>
      <c r="J317" s="101"/>
      <c r="K317" s="101"/>
      <c r="L317" s="103"/>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row>
    <row r="318" spans="1:35" x14ac:dyDescent="0.25">
      <c r="A318" s="105"/>
      <c r="B318" s="25"/>
      <c r="C318" s="25"/>
      <c r="D318" s="101"/>
      <c r="E318" s="25"/>
      <c r="F318" s="44"/>
      <c r="G318" s="102"/>
      <c r="H318" s="101"/>
      <c r="I318" s="101"/>
      <c r="J318" s="101"/>
      <c r="K318" s="101"/>
      <c r="L318" s="103"/>
      <c r="M318" s="101"/>
      <c r="N318" s="101"/>
      <c r="O318" s="101"/>
      <c r="P318" s="101"/>
      <c r="Q318" s="101"/>
      <c r="R318" s="101"/>
      <c r="S318" s="101"/>
      <c r="T318" s="101"/>
      <c r="U318" s="101"/>
      <c r="V318" s="101"/>
      <c r="W318" s="101"/>
      <c r="X318" s="101"/>
      <c r="Y318" s="101"/>
      <c r="Z318" s="101"/>
      <c r="AA318" s="101"/>
      <c r="AB318" s="101"/>
      <c r="AC318" s="101"/>
      <c r="AD318" s="101"/>
      <c r="AE318" s="101"/>
      <c r="AF318" s="101"/>
      <c r="AG318" s="101"/>
      <c r="AH318" s="101"/>
      <c r="AI318" s="101"/>
    </row>
    <row r="319" spans="1:35" x14ac:dyDescent="0.25">
      <c r="A319" s="105"/>
      <c r="B319" s="25"/>
      <c r="C319" s="25"/>
      <c r="D319" s="101"/>
      <c r="E319" s="25"/>
      <c r="F319" s="44"/>
      <c r="G319" s="102"/>
      <c r="H319" s="101"/>
      <c r="I319" s="101"/>
      <c r="J319" s="101"/>
      <c r="K319" s="101"/>
      <c r="L319" s="103"/>
      <c r="M319" s="101"/>
      <c r="N319" s="101"/>
      <c r="O319" s="101"/>
      <c r="P319" s="101"/>
      <c r="Q319" s="101"/>
      <c r="R319" s="101"/>
      <c r="S319" s="101"/>
      <c r="T319" s="101"/>
      <c r="U319" s="101"/>
      <c r="V319" s="101"/>
      <c r="W319" s="101"/>
      <c r="X319" s="101"/>
      <c r="Y319" s="101"/>
      <c r="Z319" s="101"/>
      <c r="AA319" s="101"/>
      <c r="AB319" s="101"/>
      <c r="AC319" s="101"/>
      <c r="AD319" s="101"/>
      <c r="AE319" s="101"/>
      <c r="AF319" s="101"/>
      <c r="AG319" s="101"/>
      <c r="AH319" s="101"/>
      <c r="AI319" s="101"/>
    </row>
    <row r="320" spans="1:35" x14ac:dyDescent="0.25">
      <c r="A320" s="105"/>
      <c r="B320" s="25"/>
      <c r="C320" s="25"/>
      <c r="D320" s="101"/>
      <c r="E320" s="25"/>
      <c r="F320" s="44"/>
      <c r="G320" s="102"/>
      <c r="H320" s="101"/>
      <c r="I320" s="101"/>
      <c r="J320" s="101"/>
      <c r="K320" s="101"/>
      <c r="L320" s="103"/>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row>
    <row r="321" spans="1:35" x14ac:dyDescent="0.25">
      <c r="A321" s="105"/>
      <c r="B321" s="25"/>
      <c r="C321" s="25"/>
      <c r="D321" s="101"/>
      <c r="E321" s="25"/>
      <c r="F321" s="44"/>
      <c r="G321" s="102"/>
      <c r="H321" s="101"/>
      <c r="I321" s="101"/>
      <c r="J321" s="101"/>
      <c r="K321" s="101"/>
      <c r="L321" s="103"/>
      <c r="M321" s="101"/>
      <c r="N321" s="101"/>
      <c r="O321" s="101"/>
      <c r="P321" s="101"/>
      <c r="Q321" s="101"/>
      <c r="R321" s="101"/>
      <c r="S321" s="101"/>
      <c r="T321" s="101"/>
      <c r="U321" s="101"/>
      <c r="V321" s="101"/>
      <c r="W321" s="101"/>
      <c r="X321" s="101"/>
      <c r="Y321" s="101"/>
      <c r="Z321" s="101"/>
      <c r="AA321" s="101"/>
      <c r="AB321" s="101"/>
      <c r="AC321" s="101"/>
      <c r="AD321" s="101"/>
      <c r="AE321" s="101"/>
      <c r="AF321" s="101"/>
      <c r="AG321" s="101"/>
      <c r="AH321" s="101"/>
      <c r="AI321" s="101"/>
    </row>
    <row r="322" spans="1:35" x14ac:dyDescent="0.25">
      <c r="A322" s="105"/>
      <c r="B322" s="25"/>
      <c r="C322" s="25"/>
      <c r="D322" s="101"/>
      <c r="E322" s="25"/>
      <c r="F322" s="44"/>
      <c r="G322" s="102"/>
      <c r="H322" s="101"/>
      <c r="I322" s="101"/>
      <c r="J322" s="101"/>
      <c r="K322" s="101"/>
      <c r="L322" s="103"/>
      <c r="M322" s="101"/>
      <c r="N322" s="101"/>
      <c r="O322" s="101"/>
      <c r="P322" s="101"/>
      <c r="Q322" s="101"/>
      <c r="R322" s="101"/>
      <c r="S322" s="101"/>
      <c r="T322" s="101"/>
      <c r="U322" s="101"/>
      <c r="V322" s="101"/>
      <c r="W322" s="101"/>
      <c r="X322" s="101"/>
      <c r="Y322" s="101"/>
      <c r="Z322" s="101"/>
      <c r="AA322" s="101"/>
      <c r="AB322" s="101"/>
      <c r="AC322" s="101"/>
      <c r="AD322" s="101"/>
      <c r="AE322" s="101"/>
      <c r="AF322" s="101"/>
      <c r="AG322" s="101"/>
      <c r="AH322" s="101"/>
      <c r="AI322" s="101"/>
    </row>
    <row r="323" spans="1:35" x14ac:dyDescent="0.25">
      <c r="A323" s="105"/>
      <c r="B323" s="25"/>
      <c r="C323" s="25"/>
      <c r="D323" s="101"/>
      <c r="E323" s="25"/>
      <c r="F323" s="44"/>
      <c r="G323" s="102"/>
      <c r="H323" s="101"/>
      <c r="I323" s="101"/>
      <c r="J323" s="101"/>
      <c r="K323" s="101"/>
      <c r="L323" s="103"/>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row>
    <row r="324" spans="1:35" x14ac:dyDescent="0.25">
      <c r="A324" s="105"/>
      <c r="B324" s="25"/>
      <c r="C324" s="25"/>
      <c r="D324" s="101"/>
      <c r="E324" s="25"/>
      <c r="F324" s="44"/>
      <c r="G324" s="102"/>
      <c r="H324" s="101"/>
      <c r="I324" s="101"/>
      <c r="J324" s="101"/>
      <c r="K324" s="101"/>
      <c r="L324" s="103"/>
      <c r="M324" s="101"/>
      <c r="N324" s="101"/>
      <c r="O324" s="101"/>
      <c r="P324" s="101"/>
      <c r="Q324" s="101"/>
      <c r="R324" s="101"/>
      <c r="S324" s="101"/>
      <c r="T324" s="101"/>
      <c r="U324" s="101"/>
      <c r="V324" s="101"/>
      <c r="W324" s="101"/>
      <c r="X324" s="101"/>
      <c r="Y324" s="101"/>
      <c r="Z324" s="101"/>
      <c r="AA324" s="101"/>
      <c r="AB324" s="101"/>
      <c r="AC324" s="101"/>
      <c r="AD324" s="101"/>
      <c r="AE324" s="101"/>
      <c r="AF324" s="101"/>
      <c r="AG324" s="101"/>
      <c r="AH324" s="101"/>
      <c r="AI324" s="101"/>
    </row>
    <row r="325" spans="1:35" x14ac:dyDescent="0.25">
      <c r="A325" s="105"/>
      <c r="B325" s="25"/>
      <c r="C325" s="25"/>
      <c r="D325" s="101"/>
      <c r="E325" s="25"/>
      <c r="F325" s="44"/>
      <c r="G325" s="102"/>
      <c r="H325" s="101"/>
      <c r="I325" s="101"/>
      <c r="J325" s="101"/>
      <c r="K325" s="101"/>
      <c r="L325" s="103"/>
      <c r="M325" s="101"/>
      <c r="N325" s="101"/>
      <c r="O325" s="101"/>
      <c r="P325" s="101"/>
      <c r="Q325" s="101"/>
      <c r="R325" s="101"/>
      <c r="S325" s="101"/>
      <c r="T325" s="101"/>
      <c r="U325" s="101"/>
      <c r="V325" s="101"/>
      <c r="W325" s="101"/>
      <c r="X325" s="101"/>
      <c r="Y325" s="101"/>
      <c r="Z325" s="101"/>
      <c r="AA325" s="101"/>
      <c r="AB325" s="101"/>
      <c r="AC325" s="101"/>
      <c r="AD325" s="101"/>
      <c r="AE325" s="101"/>
      <c r="AF325" s="101"/>
      <c r="AG325" s="101"/>
      <c r="AH325" s="101"/>
      <c r="AI325" s="101"/>
    </row>
    <row r="326" spans="1:35" x14ac:dyDescent="0.25">
      <c r="A326" s="105"/>
      <c r="B326" s="25"/>
      <c r="C326" s="25"/>
      <c r="D326" s="101"/>
      <c r="E326" s="25"/>
      <c r="F326" s="44"/>
      <c r="G326" s="102"/>
      <c r="H326" s="101"/>
      <c r="I326" s="101"/>
      <c r="J326" s="101"/>
      <c r="K326" s="101"/>
      <c r="L326" s="103"/>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row>
    <row r="327" spans="1:35" x14ac:dyDescent="0.25">
      <c r="A327" s="105"/>
      <c r="B327" s="25"/>
      <c r="C327" s="25"/>
      <c r="D327" s="101"/>
      <c r="E327" s="25"/>
      <c r="F327" s="44"/>
      <c r="G327" s="102"/>
      <c r="H327" s="101"/>
      <c r="I327" s="101"/>
      <c r="J327" s="101"/>
      <c r="K327" s="101"/>
      <c r="L327" s="103"/>
      <c r="M327" s="101"/>
      <c r="N327" s="101"/>
      <c r="O327" s="101"/>
      <c r="P327" s="101"/>
      <c r="Q327" s="101"/>
      <c r="R327" s="101"/>
      <c r="S327" s="101"/>
      <c r="T327" s="101"/>
      <c r="U327" s="101"/>
      <c r="V327" s="101"/>
      <c r="W327" s="101"/>
      <c r="X327" s="101"/>
      <c r="Y327" s="101"/>
      <c r="Z327" s="101"/>
      <c r="AA327" s="101"/>
      <c r="AB327" s="101"/>
      <c r="AC327" s="101"/>
      <c r="AD327" s="101"/>
      <c r="AE327" s="101"/>
      <c r="AF327" s="101"/>
      <c r="AG327" s="101"/>
      <c r="AH327" s="101"/>
      <c r="AI327" s="101"/>
    </row>
    <row r="328" spans="1:35" x14ac:dyDescent="0.25">
      <c r="A328" s="105"/>
      <c r="B328" s="25"/>
      <c r="C328" s="25"/>
      <c r="D328" s="101"/>
      <c r="E328" s="25"/>
      <c r="F328" s="44"/>
      <c r="G328" s="102"/>
      <c r="H328" s="101"/>
      <c r="I328" s="101"/>
      <c r="J328" s="101"/>
      <c r="K328" s="101"/>
      <c r="L328" s="103"/>
      <c r="M328" s="101"/>
      <c r="N328" s="101"/>
      <c r="O328" s="101"/>
      <c r="P328" s="101"/>
      <c r="Q328" s="101"/>
      <c r="R328" s="101"/>
      <c r="S328" s="101"/>
      <c r="T328" s="101"/>
      <c r="U328" s="101"/>
      <c r="V328" s="101"/>
      <c r="W328" s="101"/>
      <c r="X328" s="101"/>
      <c r="Y328" s="101"/>
      <c r="Z328" s="101"/>
      <c r="AA328" s="101"/>
      <c r="AB328" s="101"/>
      <c r="AC328" s="101"/>
      <c r="AD328" s="101"/>
      <c r="AE328" s="101"/>
      <c r="AF328" s="101"/>
      <c r="AG328" s="101"/>
      <c r="AH328" s="101"/>
      <c r="AI328" s="101"/>
    </row>
    <row r="329" spans="1:35" x14ac:dyDescent="0.25">
      <c r="A329" s="105"/>
      <c r="B329" s="25"/>
      <c r="C329" s="25"/>
      <c r="D329" s="101"/>
      <c r="E329" s="25"/>
      <c r="F329" s="44"/>
      <c r="G329" s="102"/>
      <c r="H329" s="101"/>
      <c r="I329" s="101"/>
      <c r="J329" s="101"/>
      <c r="K329" s="101"/>
      <c r="L329" s="103"/>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row>
    <row r="330" spans="1:35" x14ac:dyDescent="0.25">
      <c r="A330" s="105"/>
      <c r="B330" s="25"/>
      <c r="C330" s="25"/>
      <c r="D330" s="101"/>
      <c r="E330" s="25"/>
      <c r="F330" s="44"/>
      <c r="G330" s="102"/>
      <c r="H330" s="101"/>
      <c r="I330" s="101"/>
      <c r="J330" s="101"/>
      <c r="K330" s="101"/>
      <c r="L330" s="103"/>
      <c r="M330" s="101"/>
      <c r="N330" s="101"/>
      <c r="O330" s="101"/>
      <c r="P330" s="101"/>
      <c r="Q330" s="101"/>
      <c r="R330" s="101"/>
      <c r="S330" s="101"/>
      <c r="T330" s="101"/>
      <c r="U330" s="101"/>
      <c r="V330" s="101"/>
      <c r="W330" s="101"/>
      <c r="X330" s="101"/>
      <c r="Y330" s="101"/>
      <c r="Z330" s="101"/>
      <c r="AA330" s="101"/>
      <c r="AB330" s="101"/>
      <c r="AC330" s="101"/>
      <c r="AD330" s="101"/>
      <c r="AE330" s="101"/>
      <c r="AF330" s="101"/>
      <c r="AG330" s="101"/>
      <c r="AH330" s="101"/>
      <c r="AI330" s="101"/>
    </row>
    <row r="331" spans="1:35" x14ac:dyDescent="0.25">
      <c r="A331" s="105"/>
      <c r="B331" s="25"/>
      <c r="C331" s="25"/>
      <c r="D331" s="101"/>
      <c r="E331" s="25"/>
      <c r="F331" s="44"/>
      <c r="G331" s="102"/>
      <c r="H331" s="101"/>
      <c r="I331" s="101"/>
      <c r="J331" s="101"/>
      <c r="K331" s="101"/>
      <c r="L331" s="103"/>
      <c r="M331" s="101"/>
      <c r="N331" s="101"/>
      <c r="O331" s="101"/>
      <c r="P331" s="101"/>
      <c r="Q331" s="101"/>
      <c r="R331" s="101"/>
      <c r="S331" s="101"/>
      <c r="T331" s="101"/>
      <c r="U331" s="101"/>
      <c r="V331" s="101"/>
      <c r="W331" s="101"/>
      <c r="X331" s="101"/>
      <c r="Y331" s="101"/>
      <c r="Z331" s="101"/>
      <c r="AA331" s="101"/>
      <c r="AB331" s="101"/>
      <c r="AC331" s="101"/>
      <c r="AD331" s="101"/>
      <c r="AE331" s="101"/>
      <c r="AF331" s="101"/>
      <c r="AG331" s="101"/>
      <c r="AH331" s="101"/>
      <c r="AI331" s="101"/>
    </row>
    <row r="332" spans="1:35" x14ac:dyDescent="0.25">
      <c r="A332" s="105"/>
      <c r="B332" s="25"/>
      <c r="C332" s="25"/>
      <c r="D332" s="101"/>
      <c r="E332" s="25"/>
      <c r="F332" s="44"/>
      <c r="G332" s="102"/>
      <c r="H332" s="101"/>
      <c r="I332" s="101"/>
      <c r="J332" s="101"/>
      <c r="K332" s="101"/>
      <c r="L332" s="103"/>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row>
    <row r="333" spans="1:35" x14ac:dyDescent="0.25">
      <c r="A333" s="105"/>
      <c r="B333" s="25"/>
      <c r="C333" s="25"/>
      <c r="D333" s="101"/>
      <c r="E333" s="25"/>
      <c r="F333" s="44"/>
      <c r="G333" s="102"/>
      <c r="H333" s="101"/>
      <c r="I333" s="101"/>
      <c r="J333" s="101"/>
      <c r="K333" s="101"/>
      <c r="L333" s="103"/>
      <c r="M333" s="101"/>
      <c r="N333" s="101"/>
      <c r="O333" s="101"/>
      <c r="P333" s="101"/>
      <c r="Q333" s="101"/>
      <c r="R333" s="101"/>
      <c r="S333" s="101"/>
      <c r="T333" s="101"/>
      <c r="U333" s="101"/>
      <c r="V333" s="101"/>
      <c r="W333" s="101"/>
      <c r="X333" s="101"/>
      <c r="Y333" s="101"/>
      <c r="Z333" s="101"/>
      <c r="AA333" s="101"/>
      <c r="AB333" s="101"/>
      <c r="AC333" s="101"/>
      <c r="AD333" s="101"/>
      <c r="AE333" s="101"/>
      <c r="AF333" s="101"/>
      <c r="AG333" s="101"/>
      <c r="AH333" s="101"/>
      <c r="AI333" s="101"/>
    </row>
    <row r="334" spans="1:35" x14ac:dyDescent="0.25">
      <c r="A334" s="105"/>
      <c r="B334" s="25"/>
      <c r="C334" s="25"/>
      <c r="D334" s="101"/>
      <c r="E334" s="25"/>
      <c r="F334" s="44"/>
      <c r="G334" s="102"/>
      <c r="H334" s="101"/>
      <c r="I334" s="101"/>
      <c r="J334" s="101"/>
      <c r="K334" s="101"/>
      <c r="L334" s="103"/>
      <c r="M334" s="101"/>
      <c r="N334" s="101"/>
      <c r="O334" s="101"/>
      <c r="P334" s="101"/>
      <c r="Q334" s="101"/>
      <c r="R334" s="101"/>
      <c r="S334" s="101"/>
      <c r="T334" s="101"/>
      <c r="U334" s="101"/>
      <c r="V334" s="101"/>
      <c r="W334" s="101"/>
      <c r="X334" s="101"/>
      <c r="Y334" s="101"/>
      <c r="Z334" s="101"/>
      <c r="AA334" s="101"/>
      <c r="AB334" s="101"/>
      <c r="AC334" s="101"/>
      <c r="AD334" s="101"/>
      <c r="AE334" s="101"/>
      <c r="AF334" s="101"/>
      <c r="AG334" s="101"/>
      <c r="AH334" s="101"/>
      <c r="AI334" s="101"/>
    </row>
    <row r="335" spans="1:35" x14ac:dyDescent="0.25">
      <c r="A335" s="105"/>
      <c r="B335" s="25"/>
      <c r="C335" s="25"/>
      <c r="D335" s="101"/>
      <c r="E335" s="25"/>
      <c r="F335" s="44"/>
      <c r="G335" s="102"/>
      <c r="H335" s="101"/>
      <c r="I335" s="101"/>
      <c r="J335" s="101"/>
      <c r="K335" s="101"/>
      <c r="L335" s="103"/>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row>
    <row r="336" spans="1:35" x14ac:dyDescent="0.25">
      <c r="A336" s="105"/>
      <c r="B336" s="25"/>
      <c r="C336" s="25"/>
      <c r="D336" s="101"/>
      <c r="E336" s="25"/>
      <c r="F336" s="44"/>
      <c r="G336" s="102"/>
      <c r="H336" s="101"/>
      <c r="I336" s="101"/>
      <c r="J336" s="101"/>
      <c r="K336" s="101"/>
      <c r="L336" s="103"/>
      <c r="M336" s="101"/>
      <c r="N336" s="101"/>
      <c r="O336" s="101"/>
      <c r="P336" s="101"/>
      <c r="Q336" s="101"/>
      <c r="R336" s="101"/>
      <c r="S336" s="101"/>
      <c r="T336" s="101"/>
      <c r="U336" s="101"/>
      <c r="V336" s="101"/>
      <c r="W336" s="101"/>
      <c r="X336" s="101"/>
      <c r="Y336" s="101"/>
      <c r="Z336" s="101"/>
      <c r="AA336" s="101"/>
      <c r="AB336" s="101"/>
      <c r="AC336" s="101"/>
      <c r="AD336" s="101"/>
      <c r="AE336" s="101"/>
      <c r="AF336" s="101"/>
      <c r="AG336" s="101"/>
      <c r="AH336" s="101"/>
      <c r="AI336" s="101"/>
    </row>
    <row r="337" spans="1:35" x14ac:dyDescent="0.25">
      <c r="A337" s="105"/>
      <c r="B337" s="25"/>
      <c r="C337" s="25"/>
      <c r="D337" s="101"/>
      <c r="E337" s="25"/>
      <c r="F337" s="44"/>
      <c r="G337" s="102"/>
      <c r="H337" s="101"/>
      <c r="I337" s="101"/>
      <c r="J337" s="101"/>
      <c r="K337" s="101"/>
      <c r="L337" s="103"/>
      <c r="M337" s="101"/>
      <c r="N337" s="101"/>
      <c r="O337" s="101"/>
      <c r="P337" s="101"/>
      <c r="Q337" s="101"/>
      <c r="R337" s="101"/>
      <c r="S337" s="101"/>
      <c r="T337" s="101"/>
      <c r="U337" s="101"/>
      <c r="V337" s="101"/>
      <c r="W337" s="101"/>
      <c r="X337" s="101"/>
      <c r="Y337" s="101"/>
      <c r="Z337" s="101"/>
      <c r="AA337" s="101"/>
      <c r="AB337" s="101"/>
      <c r="AC337" s="101"/>
      <c r="AD337" s="101"/>
      <c r="AE337" s="101"/>
      <c r="AF337" s="101"/>
      <c r="AG337" s="101"/>
      <c r="AH337" s="101"/>
      <c r="AI337" s="101"/>
    </row>
    <row r="338" spans="1:35" x14ac:dyDescent="0.25">
      <c r="A338" s="105"/>
      <c r="B338" s="25"/>
      <c r="C338" s="25"/>
      <c r="D338" s="101"/>
      <c r="E338" s="25"/>
      <c r="F338" s="44"/>
      <c r="G338" s="102"/>
      <c r="H338" s="101"/>
      <c r="I338" s="101"/>
      <c r="J338" s="101"/>
      <c r="K338" s="101"/>
      <c r="L338" s="103"/>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row>
    <row r="339" spans="1:35" x14ac:dyDescent="0.25">
      <c r="A339" s="105"/>
      <c r="B339" s="25"/>
      <c r="C339" s="25"/>
      <c r="D339" s="101"/>
      <c r="E339" s="25"/>
      <c r="F339" s="44"/>
      <c r="G339" s="102"/>
      <c r="H339" s="101"/>
      <c r="I339" s="101"/>
      <c r="J339" s="101"/>
      <c r="K339" s="101"/>
      <c r="L339" s="103"/>
      <c r="M339" s="101"/>
      <c r="N339" s="101"/>
      <c r="O339" s="101"/>
      <c r="P339" s="101"/>
      <c r="Q339" s="101"/>
      <c r="R339" s="101"/>
      <c r="S339" s="101"/>
      <c r="T339" s="101"/>
      <c r="U339" s="101"/>
      <c r="V339" s="101"/>
      <c r="W339" s="101"/>
      <c r="X339" s="101"/>
      <c r="Y339" s="101"/>
      <c r="Z339" s="101"/>
      <c r="AA339" s="101"/>
      <c r="AB339" s="101"/>
      <c r="AC339" s="101"/>
      <c r="AD339" s="101"/>
      <c r="AE339" s="101"/>
      <c r="AF339" s="101"/>
      <c r="AG339" s="101"/>
      <c r="AH339" s="101"/>
      <c r="AI339" s="101"/>
    </row>
    <row r="340" spans="1:35" x14ac:dyDescent="0.25">
      <c r="A340" s="105"/>
      <c r="B340" s="25"/>
      <c r="C340" s="25"/>
      <c r="D340" s="101"/>
      <c r="E340" s="25"/>
      <c r="F340" s="44"/>
      <c r="G340" s="102"/>
      <c r="H340" s="101"/>
      <c r="I340" s="101"/>
      <c r="J340" s="101"/>
      <c r="K340" s="101"/>
      <c r="L340" s="103"/>
      <c r="M340" s="101"/>
      <c r="N340" s="101"/>
      <c r="O340" s="101"/>
      <c r="P340" s="101"/>
      <c r="Q340" s="101"/>
      <c r="R340" s="101"/>
      <c r="S340" s="101"/>
      <c r="T340" s="101"/>
      <c r="U340" s="101"/>
      <c r="V340" s="101"/>
      <c r="W340" s="101"/>
      <c r="X340" s="101"/>
      <c r="Y340" s="101"/>
      <c r="Z340" s="101"/>
      <c r="AA340" s="101"/>
      <c r="AB340" s="101"/>
      <c r="AC340" s="101"/>
      <c r="AD340" s="101"/>
      <c r="AE340" s="101"/>
      <c r="AF340" s="101"/>
      <c r="AG340" s="101"/>
      <c r="AH340" s="101"/>
      <c r="AI340" s="101"/>
    </row>
    <row r="341" spans="1:35" x14ac:dyDescent="0.25">
      <c r="A341" s="105"/>
      <c r="B341" s="25"/>
      <c r="C341" s="25"/>
      <c r="D341" s="101"/>
      <c r="E341" s="25"/>
      <c r="F341" s="44"/>
      <c r="G341" s="102"/>
      <c r="H341" s="101"/>
      <c r="I341" s="101"/>
      <c r="J341" s="101"/>
      <c r="K341" s="101"/>
      <c r="L341" s="103"/>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row>
    <row r="342" spans="1:35" x14ac:dyDescent="0.25">
      <c r="A342" s="105"/>
      <c r="B342" s="25"/>
      <c r="C342" s="25"/>
      <c r="D342" s="101"/>
      <c r="E342" s="25"/>
      <c r="F342" s="44"/>
      <c r="G342" s="102"/>
      <c r="H342" s="101"/>
      <c r="I342" s="101"/>
      <c r="J342" s="101"/>
      <c r="K342" s="101"/>
      <c r="L342" s="103"/>
      <c r="M342" s="101"/>
      <c r="N342" s="101"/>
      <c r="O342" s="101"/>
      <c r="P342" s="101"/>
      <c r="Q342" s="101"/>
      <c r="R342" s="101"/>
      <c r="S342" s="101"/>
      <c r="T342" s="101"/>
      <c r="U342" s="101"/>
      <c r="V342" s="101"/>
      <c r="W342" s="101"/>
      <c r="X342" s="101"/>
      <c r="Y342" s="101"/>
      <c r="Z342" s="101"/>
      <c r="AA342" s="101"/>
      <c r="AB342" s="101"/>
      <c r="AC342" s="101"/>
      <c r="AD342" s="101"/>
      <c r="AE342" s="101"/>
      <c r="AF342" s="101"/>
      <c r="AG342" s="101"/>
      <c r="AH342" s="101"/>
      <c r="AI342" s="101"/>
    </row>
    <row r="343" spans="1:35" x14ac:dyDescent="0.25">
      <c r="A343" s="105"/>
      <c r="B343" s="25"/>
      <c r="C343" s="25"/>
      <c r="D343" s="101"/>
      <c r="E343" s="25"/>
      <c r="F343" s="44"/>
      <c r="G343" s="102"/>
      <c r="H343" s="101"/>
      <c r="I343" s="101"/>
      <c r="J343" s="101"/>
      <c r="K343" s="101"/>
      <c r="L343" s="103"/>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row>
    <row r="344" spans="1:35" x14ac:dyDescent="0.25">
      <c r="A344" s="105"/>
      <c r="B344" s="25"/>
      <c r="C344" s="25"/>
      <c r="D344" s="101"/>
      <c r="E344" s="25"/>
      <c r="F344" s="44"/>
      <c r="G344" s="102"/>
      <c r="H344" s="101"/>
      <c r="I344" s="101"/>
      <c r="J344" s="101"/>
      <c r="K344" s="101"/>
      <c r="L344" s="103"/>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row>
    <row r="345" spans="1:35" x14ac:dyDescent="0.25">
      <c r="A345" s="105"/>
      <c r="B345" s="25"/>
      <c r="C345" s="25"/>
      <c r="D345" s="101"/>
      <c r="E345" s="25"/>
      <c r="F345" s="44"/>
      <c r="G345" s="102"/>
      <c r="H345" s="101"/>
      <c r="I345" s="101"/>
      <c r="J345" s="101"/>
      <c r="K345" s="101"/>
      <c r="L345" s="103"/>
      <c r="M345" s="101"/>
      <c r="N345" s="101"/>
      <c r="O345" s="101"/>
      <c r="P345" s="101"/>
      <c r="Q345" s="101"/>
      <c r="R345" s="101"/>
      <c r="S345" s="101"/>
      <c r="T345" s="101"/>
      <c r="U345" s="101"/>
      <c r="V345" s="101"/>
      <c r="W345" s="101"/>
      <c r="X345" s="101"/>
      <c r="Y345" s="101"/>
      <c r="Z345" s="101"/>
      <c r="AA345" s="101"/>
      <c r="AB345" s="101"/>
      <c r="AC345" s="101"/>
      <c r="AD345" s="101"/>
      <c r="AE345" s="101"/>
      <c r="AF345" s="101"/>
      <c r="AG345" s="101"/>
      <c r="AH345" s="101"/>
      <c r="AI345" s="101"/>
    </row>
    <row r="346" spans="1:35" x14ac:dyDescent="0.25">
      <c r="A346" s="105"/>
      <c r="B346" s="25"/>
      <c r="C346" s="25"/>
      <c r="D346" s="101"/>
      <c r="E346" s="25"/>
      <c r="F346" s="44"/>
      <c r="G346" s="102"/>
      <c r="H346" s="101"/>
      <c r="I346" s="101"/>
      <c r="J346" s="101"/>
      <c r="K346" s="101"/>
      <c r="L346" s="103"/>
      <c r="M346" s="101"/>
      <c r="N346" s="101"/>
      <c r="O346" s="101"/>
      <c r="P346" s="101"/>
      <c r="Q346" s="101"/>
      <c r="R346" s="101"/>
      <c r="S346" s="101"/>
      <c r="T346" s="101"/>
      <c r="U346" s="101"/>
      <c r="V346" s="101"/>
      <c r="W346" s="101"/>
      <c r="X346" s="101"/>
      <c r="Y346" s="101"/>
      <c r="Z346" s="101"/>
      <c r="AA346" s="101"/>
      <c r="AB346" s="101"/>
      <c r="AC346" s="101"/>
      <c r="AD346" s="101"/>
      <c r="AE346" s="101"/>
      <c r="AF346" s="101"/>
      <c r="AG346" s="101"/>
      <c r="AH346" s="101"/>
      <c r="AI346" s="101"/>
    </row>
    <row r="347" spans="1:35" x14ac:dyDescent="0.25">
      <c r="A347" s="105"/>
      <c r="B347" s="25"/>
      <c r="C347" s="25"/>
      <c r="D347" s="101"/>
      <c r="E347" s="25"/>
      <c r="F347" s="44"/>
      <c r="G347" s="102"/>
      <c r="H347" s="101"/>
      <c r="I347" s="101"/>
      <c r="J347" s="101"/>
      <c r="K347" s="101"/>
      <c r="L347" s="103"/>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row>
    <row r="348" spans="1:35" x14ac:dyDescent="0.25">
      <c r="A348" s="105"/>
      <c r="B348" s="25"/>
      <c r="C348" s="25"/>
      <c r="D348" s="101"/>
      <c r="E348" s="25"/>
      <c r="F348" s="44"/>
      <c r="G348" s="102"/>
      <c r="H348" s="101"/>
      <c r="I348" s="101"/>
      <c r="J348" s="101"/>
      <c r="K348" s="101"/>
      <c r="L348" s="103"/>
      <c r="M348" s="101"/>
      <c r="N348" s="101"/>
      <c r="O348" s="101"/>
      <c r="P348" s="101"/>
      <c r="Q348" s="101"/>
      <c r="R348" s="101"/>
      <c r="S348" s="101"/>
      <c r="T348" s="101"/>
      <c r="U348" s="101"/>
      <c r="V348" s="101"/>
      <c r="W348" s="101"/>
      <c r="X348" s="101"/>
      <c r="Y348" s="101"/>
      <c r="Z348" s="101"/>
      <c r="AA348" s="101"/>
      <c r="AB348" s="101"/>
      <c r="AC348" s="101"/>
      <c r="AD348" s="101"/>
      <c r="AE348" s="101"/>
      <c r="AF348" s="101"/>
      <c r="AG348" s="101"/>
      <c r="AH348" s="101"/>
      <c r="AI348" s="101"/>
    </row>
    <row r="349" spans="1:35" x14ac:dyDescent="0.25">
      <c r="A349" s="105"/>
      <c r="B349" s="25"/>
      <c r="C349" s="25"/>
      <c r="D349" s="101"/>
      <c r="E349" s="25"/>
      <c r="F349" s="44"/>
      <c r="G349" s="102"/>
      <c r="H349" s="101"/>
      <c r="I349" s="101"/>
      <c r="J349" s="101"/>
      <c r="K349" s="101"/>
      <c r="L349" s="103"/>
      <c r="M349" s="101"/>
      <c r="N349" s="101"/>
      <c r="O349" s="101"/>
      <c r="P349" s="101"/>
      <c r="Q349" s="101"/>
      <c r="R349" s="101"/>
      <c r="S349" s="101"/>
      <c r="T349" s="101"/>
      <c r="U349" s="101"/>
      <c r="V349" s="101"/>
      <c r="W349" s="101"/>
      <c r="X349" s="101"/>
      <c r="Y349" s="101"/>
      <c r="Z349" s="101"/>
      <c r="AA349" s="101"/>
      <c r="AB349" s="101"/>
      <c r="AC349" s="101"/>
      <c r="AD349" s="101"/>
      <c r="AE349" s="101"/>
      <c r="AF349" s="101"/>
      <c r="AG349" s="101"/>
      <c r="AH349" s="101"/>
      <c r="AI349" s="101"/>
    </row>
    <row r="350" spans="1:35" x14ac:dyDescent="0.25">
      <c r="A350" s="105"/>
      <c r="B350" s="25"/>
      <c r="C350" s="25"/>
      <c r="D350" s="101"/>
      <c r="E350" s="25"/>
      <c r="F350" s="44"/>
      <c r="G350" s="102"/>
      <c r="H350" s="101"/>
      <c r="I350" s="101"/>
      <c r="J350" s="101"/>
      <c r="K350" s="101"/>
      <c r="L350" s="103"/>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row>
    <row r="351" spans="1:35" x14ac:dyDescent="0.25">
      <c r="A351" s="105"/>
      <c r="B351" s="25"/>
      <c r="C351" s="25"/>
      <c r="D351" s="101"/>
      <c r="E351" s="25"/>
      <c r="F351" s="44"/>
      <c r="G351" s="102"/>
      <c r="H351" s="101"/>
      <c r="I351" s="101"/>
      <c r="J351" s="101"/>
      <c r="K351" s="101"/>
      <c r="L351" s="103"/>
      <c r="M351" s="101"/>
      <c r="N351" s="101"/>
      <c r="O351" s="101"/>
      <c r="P351" s="101"/>
      <c r="Q351" s="101"/>
      <c r="R351" s="101"/>
      <c r="S351" s="101"/>
      <c r="T351" s="101"/>
      <c r="U351" s="101"/>
      <c r="V351" s="101"/>
      <c r="W351" s="101"/>
      <c r="X351" s="101"/>
      <c r="Y351" s="101"/>
      <c r="Z351" s="101"/>
      <c r="AA351" s="101"/>
      <c r="AB351" s="101"/>
      <c r="AC351" s="101"/>
      <c r="AD351" s="101"/>
      <c r="AE351" s="101"/>
      <c r="AF351" s="101"/>
      <c r="AG351" s="101"/>
      <c r="AH351" s="101"/>
      <c r="AI351" s="101"/>
    </row>
    <row r="352" spans="1:35" x14ac:dyDescent="0.25">
      <c r="A352" s="105"/>
      <c r="B352" s="25"/>
      <c r="C352" s="25"/>
      <c r="D352" s="101"/>
      <c r="E352" s="25"/>
      <c r="F352" s="44"/>
      <c r="G352" s="102"/>
      <c r="H352" s="101"/>
      <c r="I352" s="101"/>
      <c r="J352" s="101"/>
      <c r="K352" s="101"/>
      <c r="L352" s="103"/>
      <c r="M352" s="101"/>
      <c r="N352" s="101"/>
      <c r="O352" s="101"/>
      <c r="P352" s="101"/>
      <c r="Q352" s="101"/>
      <c r="R352" s="101"/>
      <c r="S352" s="101"/>
      <c r="T352" s="101"/>
      <c r="U352" s="101"/>
      <c r="V352" s="101"/>
      <c r="W352" s="101"/>
      <c r="X352" s="101"/>
      <c r="Y352" s="101"/>
      <c r="Z352" s="101"/>
      <c r="AA352" s="101"/>
      <c r="AB352" s="101"/>
      <c r="AC352" s="101"/>
      <c r="AD352" s="101"/>
      <c r="AE352" s="101"/>
      <c r="AF352" s="101"/>
      <c r="AG352" s="101"/>
      <c r="AH352" s="101"/>
      <c r="AI352" s="101"/>
    </row>
    <row r="353" spans="1:35" x14ac:dyDescent="0.25">
      <c r="A353" s="105"/>
      <c r="B353" s="25"/>
      <c r="C353" s="25"/>
      <c r="D353" s="101"/>
      <c r="E353" s="25"/>
      <c r="F353" s="44"/>
      <c r="G353" s="102"/>
      <c r="H353" s="101"/>
      <c r="I353" s="101"/>
      <c r="J353" s="101"/>
      <c r="K353" s="101"/>
      <c r="L353" s="103"/>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row>
    <row r="354" spans="1:35" x14ac:dyDescent="0.25">
      <c r="A354" s="105"/>
      <c r="B354" s="25"/>
      <c r="C354" s="25"/>
      <c r="D354" s="101"/>
      <c r="E354" s="25"/>
      <c r="F354" s="44"/>
      <c r="G354" s="102"/>
      <c r="H354" s="101"/>
      <c r="I354" s="101"/>
      <c r="J354" s="101"/>
      <c r="K354" s="101"/>
      <c r="L354" s="103"/>
      <c r="M354" s="101"/>
      <c r="N354" s="101"/>
      <c r="O354" s="101"/>
      <c r="P354" s="101"/>
      <c r="Q354" s="101"/>
      <c r="R354" s="101"/>
      <c r="S354" s="101"/>
      <c r="T354" s="101"/>
      <c r="U354" s="101"/>
      <c r="V354" s="101"/>
      <c r="W354" s="101"/>
      <c r="X354" s="101"/>
      <c r="Y354" s="101"/>
      <c r="Z354" s="101"/>
      <c r="AA354" s="101"/>
      <c r="AB354" s="101"/>
      <c r="AC354" s="101"/>
      <c r="AD354" s="101"/>
      <c r="AE354" s="101"/>
      <c r="AF354" s="101"/>
      <c r="AG354" s="101"/>
      <c r="AH354" s="101"/>
      <c r="AI354" s="101"/>
    </row>
    <row r="355" spans="1:35" x14ac:dyDescent="0.25">
      <c r="A355" s="105"/>
      <c r="B355" s="25"/>
      <c r="C355" s="25"/>
      <c r="D355" s="101"/>
      <c r="E355" s="25"/>
      <c r="F355" s="44"/>
      <c r="G355" s="102"/>
      <c r="H355" s="101"/>
      <c r="I355" s="101"/>
      <c r="J355" s="101"/>
      <c r="K355" s="101"/>
      <c r="L355" s="103"/>
      <c r="M355" s="101"/>
      <c r="N355" s="101"/>
      <c r="O355" s="101"/>
      <c r="P355" s="101"/>
      <c r="Q355" s="101"/>
      <c r="R355" s="101"/>
      <c r="S355" s="101"/>
      <c r="T355" s="101"/>
      <c r="U355" s="101"/>
      <c r="V355" s="101"/>
      <c r="W355" s="101"/>
      <c r="X355" s="101"/>
      <c r="Y355" s="101"/>
      <c r="Z355" s="101"/>
      <c r="AA355" s="101"/>
      <c r="AB355" s="101"/>
      <c r="AC355" s="101"/>
      <c r="AD355" s="101"/>
      <c r="AE355" s="101"/>
      <c r="AF355" s="101"/>
      <c r="AG355" s="101"/>
      <c r="AH355" s="101"/>
      <c r="AI355" s="101"/>
    </row>
    <row r="356" spans="1:35" x14ac:dyDescent="0.25">
      <c r="A356" s="105"/>
      <c r="B356" s="25"/>
      <c r="C356" s="25"/>
      <c r="D356" s="101"/>
      <c r="E356" s="25"/>
      <c r="F356" s="44"/>
      <c r="G356" s="102"/>
      <c r="H356" s="101"/>
      <c r="I356" s="101"/>
      <c r="J356" s="101"/>
      <c r="K356" s="101"/>
      <c r="L356" s="103"/>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row>
    <row r="357" spans="1:35" x14ac:dyDescent="0.25">
      <c r="A357" s="105"/>
      <c r="B357" s="25"/>
      <c r="C357" s="25"/>
      <c r="D357" s="101"/>
      <c r="E357" s="25"/>
      <c r="F357" s="44"/>
      <c r="G357" s="102"/>
      <c r="H357" s="101"/>
      <c r="I357" s="101"/>
      <c r="J357" s="101"/>
      <c r="K357" s="101"/>
      <c r="L357" s="103"/>
      <c r="M357" s="101"/>
      <c r="N357" s="101"/>
      <c r="O357" s="101"/>
      <c r="P357" s="101"/>
      <c r="Q357" s="101"/>
      <c r="R357" s="101"/>
      <c r="S357" s="101"/>
      <c r="T357" s="101"/>
      <c r="U357" s="101"/>
      <c r="V357" s="101"/>
      <c r="W357" s="101"/>
      <c r="X357" s="101"/>
      <c r="Y357" s="101"/>
      <c r="Z357" s="101"/>
      <c r="AA357" s="101"/>
      <c r="AB357" s="101"/>
      <c r="AC357" s="101"/>
      <c r="AD357" s="101"/>
      <c r="AE357" s="101"/>
      <c r="AF357" s="101"/>
      <c r="AG357" s="101"/>
      <c r="AH357" s="101"/>
      <c r="AI357" s="101"/>
    </row>
    <row r="358" spans="1:35" x14ac:dyDescent="0.25">
      <c r="A358" s="105"/>
      <c r="B358" s="25"/>
      <c r="C358" s="25"/>
      <c r="D358" s="101"/>
      <c r="E358" s="25"/>
      <c r="F358" s="44"/>
      <c r="G358" s="102"/>
      <c r="H358" s="101"/>
      <c r="I358" s="101"/>
      <c r="J358" s="101"/>
      <c r="K358" s="101"/>
      <c r="L358" s="103"/>
      <c r="M358" s="101"/>
      <c r="N358" s="101"/>
      <c r="O358" s="101"/>
      <c r="P358" s="101"/>
      <c r="Q358" s="101"/>
      <c r="R358" s="101"/>
      <c r="S358" s="101"/>
      <c r="T358" s="101"/>
      <c r="U358" s="101"/>
      <c r="V358" s="101"/>
      <c r="W358" s="101"/>
      <c r="X358" s="101"/>
      <c r="Y358" s="101"/>
      <c r="Z358" s="101"/>
      <c r="AA358" s="101"/>
      <c r="AB358" s="101"/>
      <c r="AC358" s="101"/>
      <c r="AD358" s="101"/>
      <c r="AE358" s="101"/>
      <c r="AF358" s="101"/>
      <c r="AG358" s="101"/>
      <c r="AH358" s="101"/>
      <c r="AI358" s="101"/>
    </row>
    <row r="359" spans="1:35" x14ac:dyDescent="0.25">
      <c r="A359" s="105"/>
      <c r="B359" s="25"/>
      <c r="C359" s="25"/>
      <c r="D359" s="101"/>
      <c r="E359" s="25"/>
      <c r="F359" s="44"/>
      <c r="G359" s="102"/>
      <c r="H359" s="101"/>
      <c r="I359" s="101"/>
      <c r="J359" s="101"/>
      <c r="K359" s="101"/>
      <c r="L359" s="103"/>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row>
    <row r="360" spans="1:35" x14ac:dyDescent="0.25">
      <c r="A360" s="105"/>
      <c r="B360" s="25"/>
      <c r="C360" s="25"/>
      <c r="D360" s="101"/>
      <c r="E360" s="25"/>
      <c r="F360" s="44"/>
      <c r="G360" s="102"/>
      <c r="H360" s="101"/>
      <c r="I360" s="101"/>
      <c r="J360" s="101"/>
      <c r="K360" s="101"/>
      <c r="L360" s="103"/>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row>
    <row r="361" spans="1:35" x14ac:dyDescent="0.25">
      <c r="A361" s="105"/>
      <c r="B361" s="25"/>
      <c r="C361" s="25"/>
      <c r="D361" s="101"/>
      <c r="E361" s="25"/>
      <c r="F361" s="44"/>
      <c r="G361" s="102"/>
      <c r="H361" s="101"/>
      <c r="I361" s="101"/>
      <c r="J361" s="101"/>
      <c r="K361" s="101"/>
      <c r="L361" s="103"/>
      <c r="M361" s="101"/>
      <c r="N361" s="101"/>
      <c r="O361" s="101"/>
      <c r="P361" s="101"/>
      <c r="Q361" s="101"/>
      <c r="R361" s="101"/>
      <c r="S361" s="101"/>
      <c r="T361" s="101"/>
      <c r="U361" s="101"/>
      <c r="V361" s="101"/>
      <c r="W361" s="101"/>
      <c r="X361" s="101"/>
      <c r="Y361" s="101"/>
      <c r="Z361" s="101"/>
      <c r="AA361" s="101"/>
      <c r="AB361" s="101"/>
      <c r="AC361" s="101"/>
      <c r="AD361" s="101"/>
      <c r="AE361" s="101"/>
      <c r="AF361" s="101"/>
      <c r="AG361" s="101"/>
      <c r="AH361" s="101"/>
      <c r="AI361" s="101"/>
    </row>
    <row r="362" spans="1:35" x14ac:dyDescent="0.25">
      <c r="A362" s="105"/>
      <c r="B362" s="25"/>
      <c r="C362" s="25"/>
      <c r="D362" s="101"/>
      <c r="E362" s="25"/>
      <c r="F362" s="44"/>
      <c r="G362" s="102"/>
      <c r="H362" s="101"/>
      <c r="I362" s="101"/>
      <c r="J362" s="101"/>
      <c r="K362" s="101"/>
      <c r="L362" s="103"/>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row>
    <row r="363" spans="1:35" x14ac:dyDescent="0.25">
      <c r="A363" s="105"/>
      <c r="B363" s="25"/>
      <c r="C363" s="25"/>
      <c r="D363" s="101"/>
      <c r="E363" s="25"/>
      <c r="F363" s="44"/>
      <c r="G363" s="102"/>
      <c r="H363" s="101"/>
      <c r="I363" s="101"/>
      <c r="J363" s="101"/>
      <c r="K363" s="101"/>
      <c r="L363" s="103"/>
      <c r="M363" s="101"/>
      <c r="N363" s="101"/>
      <c r="O363" s="101"/>
      <c r="P363" s="101"/>
      <c r="Q363" s="101"/>
      <c r="R363" s="101"/>
      <c r="S363" s="101"/>
      <c r="T363" s="101"/>
      <c r="U363" s="101"/>
      <c r="V363" s="101"/>
      <c r="W363" s="101"/>
      <c r="X363" s="101"/>
      <c r="Y363" s="101"/>
      <c r="Z363" s="101"/>
      <c r="AA363" s="101"/>
      <c r="AB363" s="101"/>
      <c r="AC363" s="101"/>
      <c r="AD363" s="101"/>
      <c r="AE363" s="101"/>
      <c r="AF363" s="101"/>
      <c r="AG363" s="101"/>
      <c r="AH363" s="101"/>
      <c r="AI363" s="101"/>
    </row>
    <row r="364" spans="1:35" x14ac:dyDescent="0.25">
      <c r="A364" s="105"/>
      <c r="B364" s="25"/>
      <c r="C364" s="25"/>
      <c r="D364" s="101"/>
      <c r="E364" s="25"/>
      <c r="F364" s="44"/>
      <c r="G364" s="102"/>
      <c r="H364" s="101"/>
      <c r="I364" s="101"/>
      <c r="J364" s="101"/>
      <c r="K364" s="101"/>
      <c r="L364" s="103"/>
      <c r="M364" s="101"/>
      <c r="N364" s="101"/>
      <c r="O364" s="101"/>
      <c r="P364" s="101"/>
      <c r="Q364" s="101"/>
      <c r="R364" s="101"/>
      <c r="S364" s="101"/>
      <c r="T364" s="101"/>
      <c r="U364" s="101"/>
      <c r="V364" s="101"/>
      <c r="W364" s="101"/>
      <c r="X364" s="101"/>
      <c r="Y364" s="101"/>
      <c r="Z364" s="101"/>
      <c r="AA364" s="101"/>
      <c r="AB364" s="101"/>
      <c r="AC364" s="101"/>
      <c r="AD364" s="101"/>
      <c r="AE364" s="101"/>
      <c r="AF364" s="101"/>
      <c r="AG364" s="101"/>
      <c r="AH364" s="101"/>
      <c r="AI364" s="101"/>
    </row>
    <row r="365" spans="1:35" x14ac:dyDescent="0.25">
      <c r="A365" s="105"/>
      <c r="B365" s="25"/>
      <c r="C365" s="25"/>
      <c r="D365" s="101"/>
      <c r="E365" s="25"/>
      <c r="F365" s="44"/>
      <c r="G365" s="102"/>
      <c r="H365" s="101"/>
      <c r="I365" s="101"/>
      <c r="J365" s="101"/>
      <c r="K365" s="101"/>
      <c r="L365" s="103"/>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row>
    <row r="366" spans="1:35" x14ac:dyDescent="0.25">
      <c r="A366" s="105"/>
      <c r="B366" s="25"/>
      <c r="C366" s="25"/>
      <c r="D366" s="101"/>
      <c r="E366" s="25"/>
      <c r="F366" s="44"/>
      <c r="G366" s="102"/>
      <c r="H366" s="101"/>
      <c r="I366" s="101"/>
      <c r="J366" s="101"/>
      <c r="K366" s="101"/>
      <c r="L366" s="103"/>
      <c r="M366" s="101"/>
      <c r="N366" s="101"/>
      <c r="O366" s="101"/>
      <c r="P366" s="101"/>
      <c r="Q366" s="101"/>
      <c r="R366" s="101"/>
      <c r="S366" s="101"/>
      <c r="T366" s="101"/>
      <c r="U366" s="101"/>
      <c r="V366" s="101"/>
      <c r="W366" s="101"/>
      <c r="X366" s="101"/>
      <c r="Y366" s="101"/>
      <c r="Z366" s="101"/>
      <c r="AA366" s="101"/>
      <c r="AB366" s="101"/>
      <c r="AC366" s="101"/>
      <c r="AD366" s="101"/>
      <c r="AE366" s="101"/>
      <c r="AF366" s="101"/>
      <c r="AG366" s="101"/>
      <c r="AH366" s="101"/>
      <c r="AI366" s="101"/>
    </row>
    <row r="367" spans="1:35" x14ac:dyDescent="0.25">
      <c r="A367" s="105"/>
      <c r="B367" s="25"/>
      <c r="C367" s="25"/>
      <c r="D367" s="101"/>
      <c r="E367" s="25"/>
      <c r="F367" s="44"/>
      <c r="G367" s="102"/>
      <c r="H367" s="101"/>
      <c r="I367" s="101"/>
      <c r="J367" s="101"/>
      <c r="K367" s="101"/>
      <c r="L367" s="103"/>
      <c r="M367" s="101"/>
      <c r="N367" s="101"/>
      <c r="O367" s="101"/>
      <c r="P367" s="101"/>
      <c r="Q367" s="101"/>
      <c r="R367" s="101"/>
      <c r="S367" s="101"/>
      <c r="T367" s="101"/>
      <c r="U367" s="101"/>
      <c r="V367" s="101"/>
      <c r="W367" s="101"/>
      <c r="X367" s="101"/>
      <c r="Y367" s="101"/>
      <c r="Z367" s="101"/>
      <c r="AA367" s="101"/>
      <c r="AB367" s="101"/>
      <c r="AC367" s="101"/>
      <c r="AD367" s="101"/>
      <c r="AE367" s="101"/>
      <c r="AF367" s="101"/>
      <c r="AG367" s="101"/>
      <c r="AH367" s="101"/>
      <c r="AI367" s="101"/>
    </row>
    <row r="368" spans="1:35" x14ac:dyDescent="0.25">
      <c r="A368" s="105"/>
      <c r="B368" s="25"/>
      <c r="C368" s="25"/>
      <c r="D368" s="101"/>
      <c r="E368" s="25"/>
      <c r="F368" s="44"/>
      <c r="G368" s="102"/>
      <c r="H368" s="101"/>
      <c r="I368" s="101"/>
      <c r="J368" s="101"/>
      <c r="K368" s="101"/>
      <c r="L368" s="103"/>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row>
    <row r="369" spans="1:35" x14ac:dyDescent="0.25">
      <c r="A369" s="105"/>
      <c r="B369" s="25"/>
      <c r="C369" s="25"/>
      <c r="D369" s="101"/>
      <c r="E369" s="25"/>
      <c r="F369" s="44"/>
      <c r="G369" s="102"/>
      <c r="H369" s="101"/>
      <c r="I369" s="101"/>
      <c r="J369" s="101"/>
      <c r="K369" s="101"/>
      <c r="L369" s="103"/>
      <c r="M369" s="101"/>
      <c r="N369" s="101"/>
      <c r="O369" s="101"/>
      <c r="P369" s="101"/>
      <c r="Q369" s="101"/>
      <c r="R369" s="101"/>
      <c r="S369" s="101"/>
      <c r="T369" s="101"/>
      <c r="U369" s="101"/>
      <c r="V369" s="101"/>
      <c r="W369" s="101"/>
      <c r="X369" s="101"/>
      <c r="Y369" s="101"/>
      <c r="Z369" s="101"/>
      <c r="AA369" s="101"/>
      <c r="AB369" s="101"/>
      <c r="AC369" s="101"/>
      <c r="AD369" s="101"/>
      <c r="AE369" s="101"/>
      <c r="AF369" s="101"/>
      <c r="AG369" s="101"/>
      <c r="AH369" s="101"/>
      <c r="AI369" s="101"/>
    </row>
    <row r="370" spans="1:35" x14ac:dyDescent="0.25">
      <c r="A370" s="105"/>
      <c r="B370" s="25"/>
      <c r="C370" s="25"/>
      <c r="D370" s="101"/>
      <c r="E370" s="25"/>
      <c r="F370" s="44"/>
      <c r="G370" s="102"/>
      <c r="H370" s="101"/>
      <c r="I370" s="101"/>
      <c r="J370" s="101"/>
      <c r="K370" s="101"/>
      <c r="L370" s="103"/>
      <c r="M370" s="101"/>
      <c r="N370" s="101"/>
      <c r="O370" s="101"/>
      <c r="P370" s="101"/>
      <c r="Q370" s="101"/>
      <c r="R370" s="101"/>
      <c r="S370" s="101"/>
      <c r="T370" s="101"/>
      <c r="U370" s="101"/>
      <c r="V370" s="101"/>
      <c r="W370" s="101"/>
      <c r="X370" s="101"/>
      <c r="Y370" s="101"/>
      <c r="Z370" s="101"/>
      <c r="AA370" s="101"/>
      <c r="AB370" s="101"/>
      <c r="AC370" s="101"/>
      <c r="AD370" s="101"/>
      <c r="AE370" s="101"/>
      <c r="AF370" s="101"/>
      <c r="AG370" s="101"/>
      <c r="AH370" s="101"/>
      <c r="AI370" s="101"/>
    </row>
    <row r="371" spans="1:35" x14ac:dyDescent="0.25">
      <c r="A371" s="105"/>
      <c r="B371" s="25"/>
      <c r="C371" s="25"/>
      <c r="D371" s="101"/>
      <c r="E371" s="25"/>
      <c r="F371" s="44"/>
      <c r="G371" s="102"/>
      <c r="H371" s="101"/>
      <c r="I371" s="101"/>
      <c r="J371" s="101"/>
      <c r="K371" s="101"/>
      <c r="L371" s="103"/>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row>
    <row r="372" spans="1:35" x14ac:dyDescent="0.25">
      <c r="A372" s="105"/>
      <c r="B372" s="25"/>
      <c r="C372" s="25"/>
      <c r="D372" s="101"/>
      <c r="E372" s="25"/>
      <c r="F372" s="44"/>
      <c r="G372" s="102"/>
      <c r="H372" s="101"/>
      <c r="I372" s="101"/>
      <c r="J372" s="101"/>
      <c r="K372" s="101"/>
      <c r="L372" s="103"/>
      <c r="M372" s="101"/>
      <c r="N372" s="101"/>
      <c r="O372" s="101"/>
      <c r="P372" s="101"/>
      <c r="Q372" s="101"/>
      <c r="R372" s="101"/>
      <c r="S372" s="101"/>
      <c r="T372" s="101"/>
      <c r="U372" s="101"/>
      <c r="V372" s="101"/>
      <c r="W372" s="101"/>
      <c r="X372" s="101"/>
      <c r="Y372" s="101"/>
      <c r="Z372" s="101"/>
      <c r="AA372" s="101"/>
      <c r="AB372" s="101"/>
      <c r="AC372" s="101"/>
      <c r="AD372" s="101"/>
      <c r="AE372" s="101"/>
      <c r="AF372" s="101"/>
      <c r="AG372" s="101"/>
      <c r="AH372" s="101"/>
      <c r="AI372" s="101"/>
    </row>
    <row r="373" spans="1:35" x14ac:dyDescent="0.25">
      <c r="A373" s="105"/>
      <c r="B373" s="25"/>
      <c r="C373" s="25"/>
      <c r="D373" s="101"/>
      <c r="E373" s="25"/>
      <c r="F373" s="44"/>
      <c r="G373" s="102"/>
      <c r="H373" s="101"/>
      <c r="I373" s="101"/>
      <c r="J373" s="101"/>
      <c r="K373" s="101"/>
      <c r="L373" s="103"/>
      <c r="M373" s="101"/>
      <c r="N373" s="101"/>
      <c r="O373" s="101"/>
      <c r="P373" s="101"/>
      <c r="Q373" s="101"/>
      <c r="R373" s="101"/>
      <c r="S373" s="101"/>
      <c r="T373" s="101"/>
      <c r="U373" s="101"/>
      <c r="V373" s="101"/>
      <c r="W373" s="101"/>
      <c r="X373" s="101"/>
      <c r="Y373" s="101"/>
      <c r="Z373" s="101"/>
      <c r="AA373" s="101"/>
      <c r="AB373" s="101"/>
      <c r="AC373" s="101"/>
      <c r="AD373" s="101"/>
      <c r="AE373" s="101"/>
      <c r="AF373" s="101"/>
      <c r="AG373" s="101"/>
      <c r="AH373" s="101"/>
      <c r="AI373" s="101"/>
    </row>
    <row r="374" spans="1:35" x14ac:dyDescent="0.25">
      <c r="A374" s="105"/>
      <c r="B374" s="25"/>
      <c r="C374" s="25"/>
      <c r="D374" s="101"/>
      <c r="E374" s="25"/>
      <c r="F374" s="44"/>
      <c r="G374" s="102"/>
      <c r="H374" s="101"/>
      <c r="I374" s="101"/>
      <c r="J374" s="101"/>
      <c r="K374" s="101"/>
      <c r="L374" s="103"/>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row>
    <row r="375" spans="1:35" x14ac:dyDescent="0.25">
      <c r="A375" s="105"/>
      <c r="B375" s="25"/>
      <c r="C375" s="25"/>
      <c r="D375" s="101"/>
      <c r="E375" s="25"/>
      <c r="F375" s="44"/>
      <c r="G375" s="102"/>
      <c r="H375" s="101"/>
      <c r="I375" s="101"/>
      <c r="J375" s="101"/>
      <c r="K375" s="101"/>
      <c r="L375" s="103"/>
      <c r="M375" s="101"/>
      <c r="N375" s="101"/>
      <c r="O375" s="101"/>
      <c r="P375" s="101"/>
      <c r="Q375" s="101"/>
      <c r="R375" s="101"/>
      <c r="S375" s="101"/>
      <c r="T375" s="101"/>
      <c r="U375" s="101"/>
      <c r="V375" s="101"/>
      <c r="W375" s="101"/>
      <c r="X375" s="101"/>
      <c r="Y375" s="101"/>
      <c r="Z375" s="101"/>
      <c r="AA375" s="101"/>
      <c r="AB375" s="101"/>
      <c r="AC375" s="101"/>
      <c r="AD375" s="101"/>
      <c r="AE375" s="101"/>
      <c r="AF375" s="101"/>
      <c r="AG375" s="101"/>
      <c r="AH375" s="101"/>
      <c r="AI375" s="101"/>
    </row>
    <row r="376" spans="1:35" x14ac:dyDescent="0.25">
      <c r="A376" s="105"/>
      <c r="B376" s="25"/>
      <c r="C376" s="25"/>
      <c r="D376" s="101"/>
      <c r="E376" s="25"/>
      <c r="F376" s="44"/>
      <c r="G376" s="102"/>
      <c r="H376" s="101"/>
      <c r="I376" s="101"/>
      <c r="J376" s="101"/>
      <c r="K376" s="101"/>
      <c r="L376" s="103"/>
      <c r="M376" s="101"/>
      <c r="N376" s="101"/>
      <c r="O376" s="101"/>
      <c r="P376" s="101"/>
      <c r="Q376" s="101"/>
      <c r="R376" s="101"/>
      <c r="S376" s="101"/>
      <c r="T376" s="101"/>
      <c r="U376" s="101"/>
      <c r="V376" s="101"/>
      <c r="W376" s="101"/>
      <c r="X376" s="101"/>
      <c r="Y376" s="101"/>
      <c r="Z376" s="101"/>
      <c r="AA376" s="101"/>
      <c r="AB376" s="101"/>
      <c r="AC376" s="101"/>
      <c r="AD376" s="101"/>
      <c r="AE376" s="101"/>
      <c r="AF376" s="101"/>
      <c r="AG376" s="101"/>
      <c r="AH376" s="101"/>
      <c r="AI376" s="101"/>
    </row>
    <row r="377" spans="1:35" x14ac:dyDescent="0.25">
      <c r="A377" s="105"/>
      <c r="B377" s="25"/>
      <c r="C377" s="25"/>
      <c r="D377" s="101"/>
      <c r="E377" s="25"/>
      <c r="F377" s="44"/>
      <c r="G377" s="102"/>
      <c r="H377" s="101"/>
      <c r="I377" s="101"/>
      <c r="J377" s="101"/>
      <c r="K377" s="101"/>
      <c r="L377" s="103"/>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row>
    <row r="378" spans="1:35" x14ac:dyDescent="0.25">
      <c r="A378" s="105"/>
      <c r="B378" s="25"/>
      <c r="C378" s="25"/>
      <c r="D378" s="101"/>
      <c r="E378" s="25"/>
      <c r="F378" s="44"/>
      <c r="G378" s="102"/>
      <c r="H378" s="101"/>
      <c r="I378" s="101"/>
      <c r="J378" s="101"/>
      <c r="K378" s="101"/>
      <c r="L378" s="103"/>
      <c r="M378" s="101"/>
      <c r="N378" s="101"/>
      <c r="O378" s="101"/>
      <c r="P378" s="101"/>
      <c r="Q378" s="101"/>
      <c r="R378" s="101"/>
      <c r="S378" s="101"/>
      <c r="T378" s="101"/>
      <c r="U378" s="101"/>
      <c r="V378" s="101"/>
      <c r="W378" s="101"/>
      <c r="X378" s="101"/>
      <c r="Y378" s="101"/>
      <c r="Z378" s="101"/>
      <c r="AA378" s="101"/>
      <c r="AB378" s="101"/>
      <c r="AC378" s="101"/>
      <c r="AD378" s="101"/>
      <c r="AE378" s="101"/>
      <c r="AF378" s="101"/>
      <c r="AG378" s="101"/>
      <c r="AH378" s="101"/>
      <c r="AI378" s="101"/>
    </row>
    <row r="379" spans="1:35" x14ac:dyDescent="0.25">
      <c r="A379" s="105"/>
      <c r="B379" s="25"/>
      <c r="C379" s="25"/>
      <c r="D379" s="101"/>
      <c r="E379" s="25"/>
      <c r="F379" s="44"/>
      <c r="G379" s="102"/>
      <c r="H379" s="101"/>
      <c r="I379" s="101"/>
      <c r="J379" s="101"/>
      <c r="K379" s="101"/>
      <c r="L379" s="103"/>
      <c r="M379" s="101"/>
      <c r="N379" s="101"/>
      <c r="O379" s="101"/>
      <c r="P379" s="101"/>
      <c r="Q379" s="101"/>
      <c r="R379" s="101"/>
      <c r="S379" s="101"/>
      <c r="T379" s="101"/>
      <c r="U379" s="101"/>
      <c r="V379" s="101"/>
      <c r="W379" s="101"/>
      <c r="X379" s="101"/>
      <c r="Y379" s="101"/>
      <c r="Z379" s="101"/>
      <c r="AA379" s="101"/>
      <c r="AB379" s="101"/>
      <c r="AC379" s="101"/>
      <c r="AD379" s="101"/>
      <c r="AE379" s="101"/>
      <c r="AF379" s="101"/>
      <c r="AG379" s="101"/>
      <c r="AH379" s="101"/>
      <c r="AI379" s="101"/>
    </row>
    <row r="380" spans="1:35" x14ac:dyDescent="0.25">
      <c r="A380" s="105"/>
      <c r="B380" s="25"/>
      <c r="C380" s="25"/>
      <c r="D380" s="101"/>
      <c r="E380" s="25"/>
      <c r="F380" s="44"/>
      <c r="G380" s="102"/>
      <c r="H380" s="101"/>
      <c r="I380" s="101"/>
      <c r="J380" s="101"/>
      <c r="K380" s="101"/>
      <c r="L380" s="103"/>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row>
    <row r="381" spans="1:35" x14ac:dyDescent="0.25">
      <c r="A381" s="105"/>
      <c r="B381" s="25"/>
      <c r="C381" s="25"/>
      <c r="D381" s="101"/>
      <c r="E381" s="25"/>
      <c r="F381" s="44"/>
      <c r="G381" s="102"/>
      <c r="H381" s="101"/>
      <c r="I381" s="101"/>
      <c r="J381" s="101"/>
      <c r="K381" s="101"/>
      <c r="L381" s="103"/>
      <c r="M381" s="101"/>
      <c r="N381" s="101"/>
      <c r="O381" s="101"/>
      <c r="P381" s="101"/>
      <c r="Q381" s="101"/>
      <c r="R381" s="101"/>
      <c r="S381" s="101"/>
      <c r="T381" s="101"/>
      <c r="U381" s="101"/>
      <c r="V381" s="101"/>
      <c r="W381" s="101"/>
      <c r="X381" s="101"/>
      <c r="Y381" s="101"/>
      <c r="Z381" s="101"/>
      <c r="AA381" s="101"/>
      <c r="AB381" s="101"/>
      <c r="AC381" s="101"/>
      <c r="AD381" s="101"/>
      <c r="AE381" s="101"/>
      <c r="AF381" s="101"/>
      <c r="AG381" s="101"/>
      <c r="AH381" s="101"/>
      <c r="AI381" s="101"/>
    </row>
    <row r="382" spans="1:35" x14ac:dyDescent="0.25">
      <c r="A382" s="105"/>
      <c r="B382" s="25"/>
      <c r="C382" s="25"/>
      <c r="D382" s="101"/>
      <c r="E382" s="25"/>
      <c r="F382" s="44"/>
      <c r="G382" s="102"/>
      <c r="H382" s="101"/>
      <c r="I382" s="101"/>
      <c r="J382" s="101"/>
      <c r="K382" s="101"/>
      <c r="L382" s="103"/>
      <c r="M382" s="101"/>
      <c r="N382" s="101"/>
      <c r="O382" s="101"/>
      <c r="P382" s="101"/>
      <c r="Q382" s="101"/>
      <c r="R382" s="101"/>
      <c r="S382" s="101"/>
      <c r="T382" s="101"/>
      <c r="U382" s="101"/>
      <c r="V382" s="101"/>
      <c r="W382" s="101"/>
      <c r="X382" s="101"/>
      <c r="Y382" s="101"/>
      <c r="Z382" s="101"/>
      <c r="AA382" s="101"/>
      <c r="AB382" s="101"/>
      <c r="AC382" s="101"/>
      <c r="AD382" s="101"/>
      <c r="AE382" s="101"/>
      <c r="AF382" s="101"/>
      <c r="AG382" s="101"/>
      <c r="AH382" s="101"/>
      <c r="AI382" s="101"/>
    </row>
    <row r="383" spans="1:35" x14ac:dyDescent="0.25">
      <c r="A383" s="105"/>
      <c r="B383" s="25"/>
      <c r="C383" s="25"/>
      <c r="D383" s="101"/>
      <c r="E383" s="25"/>
      <c r="F383" s="44"/>
      <c r="G383" s="102"/>
      <c r="H383" s="101"/>
      <c r="I383" s="101"/>
      <c r="J383" s="101"/>
      <c r="K383" s="101"/>
      <c r="L383" s="103"/>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row>
    <row r="384" spans="1:35" x14ac:dyDescent="0.25">
      <c r="A384" s="105"/>
      <c r="B384" s="25"/>
      <c r="C384" s="25"/>
      <c r="D384" s="101"/>
      <c r="E384" s="25"/>
      <c r="F384" s="44"/>
      <c r="G384" s="102"/>
      <c r="H384" s="101"/>
      <c r="I384" s="101"/>
      <c r="J384" s="101"/>
      <c r="K384" s="101"/>
      <c r="L384" s="103"/>
      <c r="M384" s="101"/>
      <c r="N384" s="101"/>
      <c r="O384" s="101"/>
      <c r="P384" s="101"/>
      <c r="Q384" s="101"/>
      <c r="R384" s="101"/>
      <c r="S384" s="101"/>
      <c r="T384" s="101"/>
      <c r="U384" s="101"/>
      <c r="V384" s="101"/>
      <c r="W384" s="101"/>
      <c r="X384" s="101"/>
      <c r="Y384" s="101"/>
      <c r="Z384" s="101"/>
      <c r="AA384" s="101"/>
      <c r="AB384" s="101"/>
      <c r="AC384" s="101"/>
      <c r="AD384" s="101"/>
      <c r="AE384" s="101"/>
      <c r="AF384" s="101"/>
      <c r="AG384" s="101"/>
      <c r="AH384" s="101"/>
      <c r="AI384" s="101"/>
    </row>
    <row r="385" spans="1:35" x14ac:dyDescent="0.25">
      <c r="A385" s="105"/>
      <c r="B385" s="25"/>
      <c r="C385" s="25"/>
      <c r="D385" s="101"/>
      <c r="E385" s="25"/>
      <c r="F385" s="44"/>
      <c r="G385" s="102"/>
      <c r="H385" s="101"/>
      <c r="I385" s="101"/>
      <c r="J385" s="101"/>
      <c r="K385" s="101"/>
      <c r="L385" s="103"/>
      <c r="M385" s="101"/>
      <c r="N385" s="101"/>
      <c r="O385" s="101"/>
      <c r="P385" s="101"/>
      <c r="Q385" s="101"/>
      <c r="R385" s="101"/>
      <c r="S385" s="101"/>
      <c r="T385" s="101"/>
      <c r="U385" s="101"/>
      <c r="V385" s="101"/>
      <c r="W385" s="101"/>
      <c r="X385" s="101"/>
      <c r="Y385" s="101"/>
      <c r="Z385" s="101"/>
      <c r="AA385" s="101"/>
      <c r="AB385" s="101"/>
      <c r="AC385" s="101"/>
      <c r="AD385" s="101"/>
      <c r="AE385" s="101"/>
      <c r="AF385" s="101"/>
      <c r="AG385" s="101"/>
      <c r="AH385" s="101"/>
      <c r="AI385" s="101"/>
    </row>
    <row r="386" spans="1:35" x14ac:dyDescent="0.25">
      <c r="A386" s="105"/>
      <c r="B386" s="25"/>
      <c r="C386" s="25"/>
      <c r="D386" s="101"/>
      <c r="E386" s="25"/>
      <c r="F386" s="44"/>
      <c r="G386" s="102"/>
      <c r="H386" s="101"/>
      <c r="I386" s="101"/>
      <c r="J386" s="101"/>
      <c r="K386" s="101"/>
      <c r="L386" s="103"/>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row>
    <row r="387" spans="1:35" x14ac:dyDescent="0.25">
      <c r="A387" s="105"/>
      <c r="B387" s="25"/>
      <c r="C387" s="25"/>
      <c r="D387" s="101"/>
      <c r="E387" s="25"/>
      <c r="F387" s="44"/>
      <c r="G387" s="102"/>
      <c r="H387" s="101"/>
      <c r="I387" s="101"/>
      <c r="J387" s="101"/>
      <c r="K387" s="101"/>
      <c r="L387" s="103"/>
      <c r="M387" s="101"/>
      <c r="N387" s="101"/>
      <c r="O387" s="101"/>
      <c r="P387" s="101"/>
      <c r="Q387" s="101"/>
      <c r="R387" s="101"/>
      <c r="S387" s="101"/>
      <c r="T387" s="101"/>
      <c r="U387" s="101"/>
      <c r="V387" s="101"/>
      <c r="W387" s="101"/>
      <c r="X387" s="101"/>
      <c r="Y387" s="101"/>
      <c r="Z387" s="101"/>
      <c r="AA387" s="101"/>
      <c r="AB387" s="101"/>
      <c r="AC387" s="101"/>
      <c r="AD387" s="101"/>
      <c r="AE387" s="101"/>
      <c r="AF387" s="101"/>
      <c r="AG387" s="101"/>
      <c r="AH387" s="101"/>
      <c r="AI387" s="101"/>
    </row>
    <row r="388" spans="1:35" x14ac:dyDescent="0.25">
      <c r="A388" s="105"/>
      <c r="B388" s="25"/>
      <c r="C388" s="25"/>
      <c r="D388" s="101"/>
      <c r="E388" s="25"/>
      <c r="F388" s="44"/>
      <c r="G388" s="102"/>
      <c r="H388" s="101"/>
      <c r="I388" s="101"/>
      <c r="J388" s="101"/>
      <c r="K388" s="101"/>
      <c r="L388" s="103"/>
      <c r="M388" s="101"/>
      <c r="N388" s="101"/>
      <c r="O388" s="101"/>
      <c r="P388" s="101"/>
      <c r="Q388" s="101"/>
      <c r="R388" s="101"/>
      <c r="S388" s="101"/>
      <c r="T388" s="101"/>
      <c r="U388" s="101"/>
      <c r="V388" s="101"/>
      <c r="W388" s="101"/>
      <c r="X388" s="101"/>
      <c r="Y388" s="101"/>
      <c r="Z388" s="101"/>
      <c r="AA388" s="101"/>
      <c r="AB388" s="101"/>
      <c r="AC388" s="101"/>
      <c r="AD388" s="101"/>
      <c r="AE388" s="101"/>
      <c r="AF388" s="101"/>
      <c r="AG388" s="101"/>
      <c r="AH388" s="101"/>
      <c r="AI388" s="101"/>
    </row>
    <row r="389" spans="1:35" x14ac:dyDescent="0.25">
      <c r="A389" s="105"/>
      <c r="B389" s="25"/>
      <c r="C389" s="25"/>
      <c r="D389" s="101"/>
      <c r="E389" s="25"/>
      <c r="F389" s="44"/>
      <c r="G389" s="102"/>
      <c r="H389" s="101"/>
      <c r="I389" s="101"/>
      <c r="J389" s="101"/>
      <c r="K389" s="101"/>
      <c r="L389" s="103"/>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row>
    <row r="390" spans="1:35" x14ac:dyDescent="0.25">
      <c r="A390" s="105"/>
      <c r="B390" s="25"/>
      <c r="C390" s="25"/>
      <c r="D390" s="101"/>
      <c r="E390" s="25"/>
      <c r="F390" s="44"/>
      <c r="G390" s="102"/>
      <c r="H390" s="101"/>
      <c r="I390" s="101"/>
      <c r="J390" s="101"/>
      <c r="K390" s="101"/>
      <c r="L390" s="103"/>
      <c r="M390" s="101"/>
      <c r="N390" s="101"/>
      <c r="O390" s="101"/>
      <c r="P390" s="101"/>
      <c r="Q390" s="101"/>
      <c r="R390" s="101"/>
      <c r="S390" s="101"/>
      <c r="T390" s="101"/>
      <c r="U390" s="101"/>
      <c r="V390" s="101"/>
      <c r="W390" s="101"/>
      <c r="X390" s="101"/>
      <c r="Y390" s="101"/>
      <c r="Z390" s="101"/>
      <c r="AA390" s="101"/>
      <c r="AB390" s="101"/>
      <c r="AC390" s="101"/>
      <c r="AD390" s="101"/>
      <c r="AE390" s="101"/>
      <c r="AF390" s="101"/>
      <c r="AG390" s="101"/>
      <c r="AH390" s="101"/>
      <c r="AI390" s="101"/>
    </row>
    <row r="391" spans="1:35" x14ac:dyDescent="0.25">
      <c r="A391" s="105"/>
      <c r="B391" s="25"/>
      <c r="C391" s="25"/>
      <c r="D391" s="101"/>
      <c r="E391" s="25"/>
      <c r="F391" s="44"/>
      <c r="G391" s="102"/>
      <c r="H391" s="101"/>
      <c r="I391" s="101"/>
      <c r="J391" s="101"/>
      <c r="K391" s="101"/>
      <c r="L391" s="103"/>
      <c r="M391" s="101"/>
      <c r="N391" s="101"/>
      <c r="O391" s="101"/>
      <c r="P391" s="101"/>
      <c r="Q391" s="101"/>
      <c r="R391" s="101"/>
      <c r="S391" s="101"/>
      <c r="T391" s="101"/>
      <c r="U391" s="101"/>
      <c r="V391" s="101"/>
      <c r="W391" s="101"/>
      <c r="X391" s="101"/>
      <c r="Y391" s="101"/>
      <c r="Z391" s="101"/>
      <c r="AA391" s="101"/>
      <c r="AB391" s="101"/>
      <c r="AC391" s="101"/>
      <c r="AD391" s="101"/>
      <c r="AE391" s="101"/>
      <c r="AF391" s="101"/>
      <c r="AG391" s="101"/>
      <c r="AH391" s="101"/>
      <c r="AI391" s="101"/>
    </row>
    <row r="392" spans="1:35" x14ac:dyDescent="0.25">
      <c r="A392" s="105"/>
      <c r="B392" s="25"/>
      <c r="C392" s="25"/>
      <c r="D392" s="101"/>
      <c r="E392" s="25"/>
      <c r="F392" s="44"/>
      <c r="G392" s="102"/>
      <c r="H392" s="101"/>
      <c r="I392" s="101"/>
      <c r="J392" s="101"/>
      <c r="K392" s="101"/>
      <c r="L392" s="103"/>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row>
    <row r="393" spans="1:35" x14ac:dyDescent="0.25">
      <c r="A393" s="105"/>
      <c r="B393" s="25"/>
      <c r="C393" s="25"/>
      <c r="D393" s="101"/>
      <c r="E393" s="25"/>
      <c r="F393" s="44"/>
      <c r="G393" s="102"/>
      <c r="H393" s="101"/>
      <c r="I393" s="101"/>
      <c r="J393" s="101"/>
      <c r="K393" s="101"/>
      <c r="L393" s="103"/>
      <c r="M393" s="101"/>
      <c r="N393" s="101"/>
      <c r="O393" s="101"/>
      <c r="P393" s="101"/>
      <c r="Q393" s="101"/>
      <c r="R393" s="101"/>
      <c r="S393" s="101"/>
      <c r="T393" s="101"/>
      <c r="U393" s="101"/>
      <c r="V393" s="101"/>
      <c r="W393" s="101"/>
      <c r="X393" s="101"/>
      <c r="Y393" s="101"/>
      <c r="Z393" s="101"/>
      <c r="AA393" s="101"/>
      <c r="AB393" s="101"/>
      <c r="AC393" s="101"/>
      <c r="AD393" s="101"/>
      <c r="AE393" s="101"/>
      <c r="AF393" s="101"/>
      <c r="AG393" s="101"/>
      <c r="AH393" s="101"/>
      <c r="AI393" s="101"/>
    </row>
    <row r="394" spans="1:35" x14ac:dyDescent="0.25">
      <c r="A394" s="105"/>
      <c r="B394" s="25"/>
      <c r="C394" s="25"/>
      <c r="D394" s="101"/>
      <c r="E394" s="25"/>
      <c r="F394" s="44"/>
      <c r="G394" s="102"/>
      <c r="H394" s="101"/>
      <c r="I394" s="101"/>
      <c r="J394" s="101"/>
      <c r="K394" s="101"/>
      <c r="L394" s="103"/>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row>
    <row r="395" spans="1:35" x14ac:dyDescent="0.25">
      <c r="A395" s="105"/>
      <c r="B395" s="25"/>
      <c r="C395" s="25"/>
      <c r="D395" s="101"/>
      <c r="E395" s="25"/>
      <c r="F395" s="44"/>
      <c r="G395" s="102"/>
      <c r="H395" s="101"/>
      <c r="I395" s="101"/>
      <c r="J395" s="101"/>
      <c r="K395" s="101"/>
      <c r="L395" s="103"/>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row>
    <row r="396" spans="1:35" x14ac:dyDescent="0.25">
      <c r="A396" s="105"/>
      <c r="B396" s="25"/>
      <c r="C396" s="25"/>
      <c r="D396" s="101"/>
      <c r="E396" s="25"/>
      <c r="F396" s="44"/>
      <c r="G396" s="102"/>
      <c r="H396" s="101"/>
      <c r="I396" s="101"/>
      <c r="J396" s="101"/>
      <c r="K396" s="101"/>
      <c r="L396" s="103"/>
      <c r="M396" s="101"/>
      <c r="N396" s="101"/>
      <c r="O396" s="101"/>
      <c r="P396" s="101"/>
      <c r="Q396" s="101"/>
      <c r="R396" s="101"/>
      <c r="S396" s="101"/>
      <c r="T396" s="101"/>
      <c r="U396" s="101"/>
      <c r="V396" s="101"/>
      <c r="W396" s="101"/>
      <c r="X396" s="101"/>
      <c r="Y396" s="101"/>
      <c r="Z396" s="101"/>
      <c r="AA396" s="101"/>
      <c r="AB396" s="101"/>
      <c r="AC396" s="101"/>
      <c r="AD396" s="101"/>
      <c r="AE396" s="101"/>
      <c r="AF396" s="101"/>
      <c r="AG396" s="101"/>
      <c r="AH396" s="101"/>
      <c r="AI396" s="101"/>
    </row>
    <row r="397" spans="1:35" x14ac:dyDescent="0.25">
      <c r="A397" s="105"/>
      <c r="B397" s="25"/>
      <c r="C397" s="25"/>
      <c r="D397" s="101"/>
      <c r="E397" s="25"/>
      <c r="F397" s="44"/>
      <c r="G397" s="102"/>
      <c r="H397" s="101"/>
      <c r="I397" s="101"/>
      <c r="J397" s="101"/>
      <c r="K397" s="101"/>
      <c r="L397" s="103"/>
      <c r="M397" s="101"/>
      <c r="N397" s="101"/>
      <c r="O397" s="101"/>
      <c r="P397" s="101"/>
      <c r="Q397" s="101"/>
      <c r="R397" s="101"/>
      <c r="S397" s="101"/>
      <c r="T397" s="101"/>
      <c r="U397" s="101"/>
      <c r="V397" s="101"/>
      <c r="W397" s="101"/>
      <c r="X397" s="101"/>
      <c r="Y397" s="101"/>
      <c r="Z397" s="101"/>
      <c r="AA397" s="101"/>
      <c r="AB397" s="101"/>
      <c r="AC397" s="101"/>
      <c r="AD397" s="101"/>
      <c r="AE397" s="101"/>
      <c r="AF397" s="101"/>
      <c r="AG397" s="101"/>
      <c r="AH397" s="101"/>
      <c r="AI397" s="101"/>
    </row>
    <row r="398" spans="1:35" x14ac:dyDescent="0.25">
      <c r="A398" s="105"/>
      <c r="B398" s="25"/>
      <c r="C398" s="25"/>
      <c r="D398" s="101"/>
      <c r="E398" s="25"/>
      <c r="F398" s="44"/>
      <c r="G398" s="102"/>
      <c r="H398" s="101"/>
      <c r="I398" s="101"/>
      <c r="J398" s="101"/>
      <c r="K398" s="101"/>
      <c r="L398" s="103"/>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row>
    <row r="399" spans="1:35" x14ac:dyDescent="0.25">
      <c r="A399" s="105"/>
      <c r="B399" s="25"/>
      <c r="C399" s="25"/>
      <c r="D399" s="101"/>
      <c r="E399" s="25"/>
      <c r="F399" s="44"/>
      <c r="G399" s="102"/>
      <c r="H399" s="101"/>
      <c r="I399" s="101"/>
      <c r="J399" s="101"/>
      <c r="K399" s="101"/>
      <c r="L399" s="103"/>
      <c r="M399" s="101"/>
      <c r="N399" s="101"/>
      <c r="O399" s="101"/>
      <c r="P399" s="101"/>
      <c r="Q399" s="101"/>
      <c r="R399" s="101"/>
      <c r="S399" s="101"/>
      <c r="T399" s="101"/>
      <c r="U399" s="101"/>
      <c r="V399" s="101"/>
      <c r="W399" s="101"/>
      <c r="X399" s="101"/>
      <c r="Y399" s="101"/>
      <c r="Z399" s="101"/>
      <c r="AA399" s="101"/>
      <c r="AB399" s="101"/>
      <c r="AC399" s="101"/>
      <c r="AD399" s="101"/>
      <c r="AE399" s="101"/>
      <c r="AF399" s="101"/>
      <c r="AG399" s="101"/>
      <c r="AH399" s="101"/>
      <c r="AI399" s="101"/>
    </row>
    <row r="400" spans="1:35" x14ac:dyDescent="0.25">
      <c r="A400" s="105"/>
      <c r="B400" s="25"/>
      <c r="C400" s="25"/>
      <c r="D400" s="101"/>
      <c r="E400" s="25"/>
      <c r="F400" s="44"/>
      <c r="G400" s="102"/>
      <c r="H400" s="101"/>
      <c r="I400" s="101"/>
      <c r="J400" s="101"/>
      <c r="K400" s="101"/>
      <c r="L400" s="103"/>
      <c r="M400" s="101"/>
      <c r="N400" s="101"/>
      <c r="O400" s="101"/>
      <c r="P400" s="101"/>
      <c r="Q400" s="101"/>
      <c r="R400" s="101"/>
      <c r="S400" s="101"/>
      <c r="T400" s="101"/>
      <c r="U400" s="101"/>
      <c r="V400" s="101"/>
      <c r="W400" s="101"/>
      <c r="X400" s="101"/>
      <c r="Y400" s="101"/>
      <c r="Z400" s="101"/>
      <c r="AA400" s="101"/>
      <c r="AB400" s="101"/>
      <c r="AC400" s="101"/>
      <c r="AD400" s="101"/>
      <c r="AE400" s="101"/>
      <c r="AF400" s="101"/>
      <c r="AG400" s="101"/>
      <c r="AH400" s="101"/>
      <c r="AI400" s="101"/>
    </row>
    <row r="401" spans="1:35" x14ac:dyDescent="0.25">
      <c r="A401" s="105"/>
      <c r="B401" s="25"/>
      <c r="C401" s="25"/>
      <c r="D401" s="101"/>
      <c r="E401" s="25"/>
      <c r="F401" s="44"/>
      <c r="G401" s="102"/>
      <c r="H401" s="101"/>
      <c r="I401" s="101"/>
      <c r="J401" s="101"/>
      <c r="K401" s="101"/>
      <c r="L401" s="103"/>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row>
    <row r="402" spans="1:35" x14ac:dyDescent="0.25">
      <c r="A402" s="105"/>
      <c r="B402" s="25"/>
      <c r="C402" s="25"/>
      <c r="D402" s="101"/>
      <c r="E402" s="25"/>
      <c r="F402" s="44"/>
      <c r="G402" s="102"/>
      <c r="H402" s="101"/>
      <c r="I402" s="101"/>
      <c r="J402" s="101"/>
      <c r="K402" s="101"/>
      <c r="L402" s="103"/>
      <c r="M402" s="101"/>
      <c r="N402" s="101"/>
      <c r="O402" s="101"/>
      <c r="P402" s="101"/>
      <c r="Q402" s="101"/>
      <c r="R402" s="101"/>
      <c r="S402" s="101"/>
      <c r="T402" s="101"/>
      <c r="U402" s="101"/>
      <c r="V402" s="101"/>
      <c r="W402" s="101"/>
      <c r="X402" s="101"/>
      <c r="Y402" s="101"/>
      <c r="Z402" s="101"/>
      <c r="AA402" s="101"/>
      <c r="AB402" s="101"/>
      <c r="AC402" s="101"/>
      <c r="AD402" s="101"/>
      <c r="AE402" s="101"/>
      <c r="AF402" s="101"/>
      <c r="AG402" s="101"/>
      <c r="AH402" s="101"/>
      <c r="AI402" s="101"/>
    </row>
    <row r="403" spans="1:35" x14ac:dyDescent="0.25">
      <c r="A403" s="105"/>
      <c r="B403" s="25"/>
      <c r="C403" s="25"/>
      <c r="D403" s="101"/>
      <c r="E403" s="25"/>
      <c r="F403" s="44"/>
      <c r="G403" s="102"/>
      <c r="H403" s="101"/>
      <c r="I403" s="101"/>
      <c r="J403" s="101"/>
      <c r="K403" s="101"/>
      <c r="L403" s="103"/>
      <c r="M403" s="101"/>
      <c r="N403" s="101"/>
      <c r="O403" s="101"/>
      <c r="P403" s="101"/>
      <c r="Q403" s="101"/>
      <c r="R403" s="101"/>
      <c r="S403" s="101"/>
      <c r="T403" s="101"/>
      <c r="U403" s="101"/>
      <c r="V403" s="101"/>
      <c r="W403" s="101"/>
      <c r="X403" s="101"/>
      <c r="Y403" s="101"/>
      <c r="Z403" s="101"/>
      <c r="AA403" s="101"/>
      <c r="AB403" s="101"/>
      <c r="AC403" s="101"/>
      <c r="AD403" s="101"/>
      <c r="AE403" s="101"/>
      <c r="AF403" s="101"/>
      <c r="AG403" s="101"/>
      <c r="AH403" s="101"/>
      <c r="AI403" s="101"/>
    </row>
    <row r="404" spans="1:35" x14ac:dyDescent="0.25">
      <c r="A404" s="105"/>
      <c r="B404" s="25"/>
      <c r="C404" s="25"/>
      <c r="D404" s="101"/>
      <c r="E404" s="25"/>
      <c r="F404" s="44"/>
      <c r="G404" s="102"/>
      <c r="H404" s="101"/>
      <c r="I404" s="101"/>
      <c r="J404" s="101"/>
      <c r="K404" s="101"/>
      <c r="L404" s="103"/>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row>
    <row r="405" spans="1:35" x14ac:dyDescent="0.25">
      <c r="A405" s="105"/>
      <c r="B405" s="25"/>
      <c r="C405" s="25"/>
      <c r="D405" s="101"/>
      <c r="E405" s="25"/>
      <c r="F405" s="44"/>
      <c r="G405" s="102"/>
      <c r="H405" s="101"/>
      <c r="I405" s="101"/>
      <c r="J405" s="101"/>
      <c r="K405" s="101"/>
      <c r="L405" s="103"/>
      <c r="M405" s="101"/>
      <c r="N405" s="101"/>
      <c r="O405" s="101"/>
      <c r="P405" s="101"/>
      <c r="Q405" s="101"/>
      <c r="R405" s="101"/>
      <c r="S405" s="101"/>
      <c r="T405" s="101"/>
      <c r="U405" s="101"/>
      <c r="V405" s="101"/>
      <c r="W405" s="101"/>
      <c r="X405" s="101"/>
      <c r="Y405" s="101"/>
      <c r="Z405" s="101"/>
      <c r="AA405" s="101"/>
      <c r="AB405" s="101"/>
      <c r="AC405" s="101"/>
      <c r="AD405" s="101"/>
      <c r="AE405" s="101"/>
      <c r="AF405" s="101"/>
      <c r="AG405" s="101"/>
      <c r="AH405" s="101"/>
      <c r="AI405" s="101"/>
    </row>
    <row r="406" spans="1:35" x14ac:dyDescent="0.25">
      <c r="A406" s="105"/>
      <c r="B406" s="25"/>
      <c r="C406" s="25"/>
      <c r="D406" s="101"/>
      <c r="E406" s="25"/>
      <c r="F406" s="44"/>
      <c r="G406" s="102"/>
      <c r="H406" s="101"/>
      <c r="I406" s="101"/>
      <c r="J406" s="101"/>
      <c r="K406" s="101"/>
      <c r="L406" s="103"/>
      <c r="M406" s="101"/>
      <c r="N406" s="101"/>
      <c r="O406" s="101"/>
      <c r="P406" s="101"/>
      <c r="Q406" s="101"/>
      <c r="R406" s="101"/>
      <c r="S406" s="101"/>
      <c r="T406" s="101"/>
      <c r="U406" s="101"/>
      <c r="V406" s="101"/>
      <c r="W406" s="101"/>
      <c r="X406" s="101"/>
      <c r="Y406" s="101"/>
      <c r="Z406" s="101"/>
      <c r="AA406" s="101"/>
      <c r="AB406" s="101"/>
      <c r="AC406" s="101"/>
      <c r="AD406" s="101"/>
      <c r="AE406" s="101"/>
      <c r="AF406" s="101"/>
      <c r="AG406" s="101"/>
      <c r="AH406" s="101"/>
      <c r="AI406" s="101"/>
    </row>
    <row r="407" spans="1:35" x14ac:dyDescent="0.25">
      <c r="A407" s="105"/>
      <c r="B407" s="25"/>
      <c r="C407" s="25"/>
      <c r="D407" s="101"/>
      <c r="E407" s="25"/>
      <c r="F407" s="44"/>
      <c r="G407" s="102"/>
      <c r="H407" s="101"/>
      <c r="I407" s="101"/>
      <c r="J407" s="101"/>
      <c r="K407" s="101"/>
      <c r="L407" s="103"/>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row>
    <row r="408" spans="1:35" x14ac:dyDescent="0.25">
      <c r="A408" s="105"/>
      <c r="B408" s="25"/>
      <c r="C408" s="25"/>
      <c r="D408" s="101"/>
      <c r="E408" s="25"/>
      <c r="F408" s="44"/>
      <c r="G408" s="102"/>
      <c r="H408" s="101"/>
      <c r="I408" s="101"/>
      <c r="J408" s="101"/>
      <c r="K408" s="101"/>
      <c r="L408" s="103"/>
      <c r="M408" s="101"/>
      <c r="N408" s="101"/>
      <c r="O408" s="101"/>
      <c r="P408" s="101"/>
      <c r="Q408" s="101"/>
      <c r="R408" s="101"/>
      <c r="S408" s="101"/>
      <c r="T408" s="101"/>
      <c r="U408" s="101"/>
      <c r="V408" s="101"/>
      <c r="W408" s="101"/>
      <c r="X408" s="101"/>
      <c r="Y408" s="101"/>
      <c r="Z408" s="101"/>
      <c r="AA408" s="101"/>
      <c r="AB408" s="101"/>
      <c r="AC408" s="101"/>
      <c r="AD408" s="101"/>
      <c r="AE408" s="101"/>
      <c r="AF408" s="101"/>
      <c r="AG408" s="101"/>
      <c r="AH408" s="101"/>
      <c r="AI408" s="101"/>
    </row>
    <row r="409" spans="1:35" x14ac:dyDescent="0.25">
      <c r="A409" s="105"/>
      <c r="B409" s="25"/>
      <c r="C409" s="25"/>
      <c r="D409" s="101"/>
      <c r="E409" s="25"/>
      <c r="F409" s="44"/>
      <c r="G409" s="102"/>
      <c r="H409" s="101"/>
      <c r="I409" s="101"/>
      <c r="J409" s="101"/>
      <c r="K409" s="101"/>
      <c r="L409" s="103"/>
      <c r="M409" s="101"/>
      <c r="N409" s="101"/>
      <c r="O409" s="101"/>
      <c r="P409" s="101"/>
      <c r="Q409" s="101"/>
      <c r="R409" s="101"/>
      <c r="S409" s="101"/>
      <c r="T409" s="101"/>
      <c r="U409" s="101"/>
      <c r="V409" s="101"/>
      <c r="W409" s="101"/>
      <c r="X409" s="101"/>
      <c r="Y409" s="101"/>
      <c r="Z409" s="101"/>
      <c r="AA409" s="101"/>
      <c r="AB409" s="101"/>
      <c r="AC409" s="101"/>
      <c r="AD409" s="101"/>
      <c r="AE409" s="101"/>
      <c r="AF409" s="101"/>
      <c r="AG409" s="101"/>
      <c r="AH409" s="101"/>
      <c r="AI409" s="101"/>
    </row>
    <row r="410" spans="1:35" x14ac:dyDescent="0.25">
      <c r="A410" s="105"/>
      <c r="B410" s="25"/>
      <c r="C410" s="25"/>
      <c r="D410" s="101"/>
      <c r="E410" s="25"/>
      <c r="F410" s="44"/>
      <c r="G410" s="102"/>
      <c r="H410" s="101"/>
      <c r="I410" s="101"/>
      <c r="J410" s="101"/>
      <c r="K410" s="101"/>
      <c r="L410" s="103"/>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row>
    <row r="411" spans="1:35" x14ac:dyDescent="0.25">
      <c r="A411" s="105"/>
      <c r="B411" s="25"/>
      <c r="C411" s="25"/>
      <c r="D411" s="101"/>
      <c r="E411" s="25"/>
      <c r="F411" s="44"/>
      <c r="G411" s="102"/>
      <c r="H411" s="101"/>
      <c r="I411" s="101"/>
      <c r="J411" s="101"/>
      <c r="K411" s="101"/>
      <c r="L411" s="103"/>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row>
    <row r="412" spans="1:35" x14ac:dyDescent="0.25">
      <c r="A412" s="105"/>
      <c r="B412" s="25"/>
      <c r="C412" s="25"/>
      <c r="D412" s="101"/>
      <c r="E412" s="25"/>
      <c r="F412" s="44"/>
      <c r="G412" s="102"/>
      <c r="H412" s="101"/>
      <c r="I412" s="101"/>
      <c r="J412" s="101"/>
      <c r="K412" s="101"/>
      <c r="L412" s="103"/>
      <c r="M412" s="101"/>
      <c r="N412" s="101"/>
      <c r="O412" s="101"/>
      <c r="P412" s="101"/>
      <c r="Q412" s="101"/>
      <c r="R412" s="101"/>
      <c r="S412" s="101"/>
      <c r="T412" s="101"/>
      <c r="U412" s="101"/>
      <c r="V412" s="101"/>
      <c r="W412" s="101"/>
      <c r="X412" s="101"/>
      <c r="Y412" s="101"/>
      <c r="Z412" s="101"/>
      <c r="AA412" s="101"/>
      <c r="AB412" s="101"/>
      <c r="AC412" s="101"/>
      <c r="AD412" s="101"/>
      <c r="AE412" s="101"/>
      <c r="AF412" s="101"/>
      <c r="AG412" s="101"/>
      <c r="AH412" s="101"/>
      <c r="AI412" s="101"/>
    </row>
    <row r="413" spans="1:35" x14ac:dyDescent="0.25">
      <c r="A413" s="105"/>
      <c r="B413" s="25"/>
      <c r="C413" s="25"/>
      <c r="D413" s="101"/>
      <c r="E413" s="25"/>
      <c r="F413" s="44"/>
      <c r="G413" s="102"/>
      <c r="H413" s="101"/>
      <c r="I413" s="101"/>
      <c r="J413" s="101"/>
      <c r="K413" s="101"/>
      <c r="L413" s="103"/>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row>
    <row r="414" spans="1:35" x14ac:dyDescent="0.25">
      <c r="A414" s="105"/>
      <c r="B414" s="25"/>
      <c r="C414" s="25"/>
      <c r="D414" s="101"/>
      <c r="E414" s="25"/>
      <c r="F414" s="44"/>
      <c r="G414" s="102"/>
      <c r="H414" s="101"/>
      <c r="I414" s="101"/>
      <c r="J414" s="101"/>
      <c r="K414" s="101"/>
      <c r="L414" s="103"/>
      <c r="M414" s="101"/>
      <c r="N414" s="101"/>
      <c r="O414" s="101"/>
      <c r="P414" s="101"/>
      <c r="Q414" s="101"/>
      <c r="R414" s="101"/>
      <c r="S414" s="101"/>
      <c r="T414" s="101"/>
      <c r="U414" s="101"/>
      <c r="V414" s="101"/>
      <c r="W414" s="101"/>
      <c r="X414" s="101"/>
      <c r="Y414" s="101"/>
      <c r="Z414" s="101"/>
      <c r="AA414" s="101"/>
      <c r="AB414" s="101"/>
      <c r="AC414" s="101"/>
      <c r="AD414" s="101"/>
      <c r="AE414" s="101"/>
      <c r="AF414" s="101"/>
      <c r="AG414" s="101"/>
      <c r="AH414" s="101"/>
      <c r="AI414" s="101"/>
    </row>
    <row r="415" spans="1:35" x14ac:dyDescent="0.25">
      <c r="A415" s="105"/>
      <c r="B415" s="25"/>
      <c r="C415" s="25"/>
      <c r="D415" s="101"/>
      <c r="E415" s="25"/>
      <c r="F415" s="44"/>
      <c r="G415" s="102"/>
      <c r="H415" s="101"/>
      <c r="I415" s="101"/>
      <c r="J415" s="101"/>
      <c r="K415" s="101"/>
      <c r="L415" s="103"/>
      <c r="M415" s="101"/>
      <c r="N415" s="101"/>
      <c r="O415" s="101"/>
      <c r="P415" s="101"/>
      <c r="Q415" s="101"/>
      <c r="R415" s="101"/>
      <c r="S415" s="101"/>
      <c r="T415" s="101"/>
      <c r="U415" s="101"/>
      <c r="V415" s="101"/>
      <c r="W415" s="101"/>
      <c r="X415" s="101"/>
      <c r="Y415" s="101"/>
      <c r="Z415" s="101"/>
      <c r="AA415" s="101"/>
      <c r="AB415" s="101"/>
      <c r="AC415" s="101"/>
      <c r="AD415" s="101"/>
      <c r="AE415" s="101"/>
      <c r="AF415" s="101"/>
      <c r="AG415" s="101"/>
      <c r="AH415" s="101"/>
      <c r="AI415" s="101"/>
    </row>
    <row r="416" spans="1:35" x14ac:dyDescent="0.25">
      <c r="A416" s="105"/>
      <c r="B416" s="25"/>
      <c r="C416" s="25"/>
      <c r="D416" s="101"/>
      <c r="E416" s="25"/>
      <c r="F416" s="44"/>
      <c r="G416" s="102"/>
      <c r="H416" s="101"/>
      <c r="I416" s="101"/>
      <c r="J416" s="101"/>
      <c r="K416" s="101"/>
      <c r="L416" s="103"/>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row>
    <row r="417" spans="1:35" x14ac:dyDescent="0.25">
      <c r="A417" s="105"/>
      <c r="B417" s="25"/>
      <c r="C417" s="25"/>
      <c r="D417" s="101"/>
      <c r="E417" s="25"/>
      <c r="F417" s="44"/>
      <c r="G417" s="102"/>
      <c r="H417" s="101"/>
      <c r="I417" s="101"/>
      <c r="J417" s="101"/>
      <c r="K417" s="101"/>
      <c r="L417" s="103"/>
      <c r="M417" s="101"/>
      <c r="N417" s="101"/>
      <c r="O417" s="101"/>
      <c r="P417" s="101"/>
      <c r="Q417" s="101"/>
      <c r="R417" s="101"/>
      <c r="S417" s="101"/>
      <c r="T417" s="101"/>
      <c r="U417" s="101"/>
      <c r="V417" s="101"/>
      <c r="W417" s="101"/>
      <c r="X417" s="101"/>
      <c r="Y417" s="101"/>
      <c r="Z417" s="101"/>
      <c r="AA417" s="101"/>
      <c r="AB417" s="101"/>
      <c r="AC417" s="101"/>
      <c r="AD417" s="101"/>
      <c r="AE417" s="101"/>
      <c r="AF417" s="101"/>
      <c r="AG417" s="101"/>
      <c r="AH417" s="101"/>
      <c r="AI417" s="101"/>
    </row>
    <row r="418" spans="1:35" x14ac:dyDescent="0.25">
      <c r="A418" s="105"/>
      <c r="B418" s="25"/>
      <c r="C418" s="25"/>
      <c r="D418" s="101"/>
      <c r="E418" s="25"/>
      <c r="F418" s="44"/>
      <c r="G418" s="102"/>
      <c r="H418" s="101"/>
      <c r="I418" s="101"/>
      <c r="J418" s="101"/>
      <c r="K418" s="101"/>
      <c r="L418" s="103"/>
      <c r="M418" s="101"/>
      <c r="N418" s="101"/>
      <c r="O418" s="101"/>
      <c r="P418" s="101"/>
      <c r="Q418" s="101"/>
      <c r="R418" s="101"/>
      <c r="S418" s="101"/>
      <c r="T418" s="101"/>
      <c r="U418" s="101"/>
      <c r="V418" s="101"/>
      <c r="W418" s="101"/>
      <c r="X418" s="101"/>
      <c r="Y418" s="101"/>
      <c r="Z418" s="101"/>
      <c r="AA418" s="101"/>
      <c r="AB418" s="101"/>
      <c r="AC418" s="101"/>
      <c r="AD418" s="101"/>
      <c r="AE418" s="101"/>
      <c r="AF418" s="101"/>
      <c r="AG418" s="101"/>
      <c r="AH418" s="101"/>
      <c r="AI418" s="101"/>
    </row>
    <row r="419" spans="1:35" x14ac:dyDescent="0.25">
      <c r="A419" s="105"/>
      <c r="B419" s="25"/>
      <c r="C419" s="25"/>
      <c r="D419" s="101"/>
      <c r="E419" s="25"/>
      <c r="F419" s="44"/>
      <c r="G419" s="102"/>
      <c r="H419" s="101"/>
      <c r="I419" s="101"/>
      <c r="J419" s="101"/>
      <c r="K419" s="101"/>
      <c r="L419" s="103"/>
      <c r="M419" s="101"/>
      <c r="N419" s="101"/>
      <c r="O419" s="101"/>
      <c r="P419" s="101"/>
      <c r="Q419" s="101"/>
      <c r="R419" s="101"/>
      <c r="S419" s="101"/>
      <c r="T419" s="101"/>
      <c r="U419" s="101"/>
      <c r="V419" s="101"/>
      <c r="W419" s="101"/>
      <c r="X419" s="101"/>
      <c r="Y419" s="101"/>
      <c r="Z419" s="101"/>
      <c r="AA419" s="101"/>
      <c r="AB419" s="101"/>
      <c r="AC419" s="101"/>
      <c r="AD419" s="101"/>
      <c r="AE419" s="101"/>
      <c r="AF419" s="101"/>
      <c r="AG419" s="101"/>
      <c r="AH419" s="101"/>
      <c r="AI419" s="101"/>
    </row>
    <row r="420" spans="1:35" x14ac:dyDescent="0.25">
      <c r="A420" s="105"/>
      <c r="B420" s="25"/>
      <c r="C420" s="25"/>
      <c r="D420" s="101"/>
      <c r="E420" s="25"/>
      <c r="F420" s="44"/>
      <c r="G420" s="102"/>
      <c r="H420" s="101"/>
      <c r="I420" s="101"/>
      <c r="J420" s="101"/>
      <c r="K420" s="101"/>
      <c r="L420" s="103"/>
      <c r="M420" s="101"/>
      <c r="N420" s="101"/>
      <c r="O420" s="101"/>
      <c r="P420" s="101"/>
      <c r="Q420" s="101"/>
      <c r="R420" s="101"/>
      <c r="S420" s="101"/>
      <c r="T420" s="101"/>
      <c r="U420" s="101"/>
      <c r="V420" s="101"/>
      <c r="W420" s="101"/>
      <c r="X420" s="101"/>
      <c r="Y420" s="101"/>
      <c r="Z420" s="101"/>
      <c r="AA420" s="101"/>
      <c r="AB420" s="101"/>
      <c r="AC420" s="101"/>
      <c r="AD420" s="101"/>
      <c r="AE420" s="101"/>
      <c r="AF420" s="101"/>
      <c r="AG420" s="101"/>
      <c r="AH420" s="101"/>
      <c r="AI420" s="101"/>
    </row>
    <row r="421" spans="1:35" x14ac:dyDescent="0.25">
      <c r="A421" s="105"/>
      <c r="B421" s="25"/>
      <c r="C421" s="25"/>
      <c r="D421" s="101"/>
      <c r="E421" s="25"/>
      <c r="F421" s="44"/>
      <c r="G421" s="102"/>
      <c r="H421" s="101"/>
      <c r="I421" s="101"/>
      <c r="J421" s="101"/>
      <c r="K421" s="101"/>
      <c r="L421" s="103"/>
      <c r="M421" s="101"/>
      <c r="N421" s="101"/>
      <c r="O421" s="101"/>
      <c r="P421" s="101"/>
      <c r="Q421" s="101"/>
      <c r="R421" s="101"/>
      <c r="S421" s="101"/>
      <c r="T421" s="101"/>
      <c r="U421" s="101"/>
      <c r="V421" s="101"/>
      <c r="W421" s="101"/>
      <c r="X421" s="101"/>
      <c r="Y421" s="101"/>
      <c r="Z421" s="101"/>
      <c r="AA421" s="101"/>
      <c r="AB421" s="101"/>
      <c r="AC421" s="101"/>
      <c r="AD421" s="101"/>
      <c r="AE421" s="101"/>
      <c r="AF421" s="101"/>
      <c r="AG421" s="101"/>
      <c r="AH421" s="101"/>
      <c r="AI421" s="101"/>
    </row>
    <row r="422" spans="1:35" x14ac:dyDescent="0.25">
      <c r="A422" s="105"/>
      <c r="B422" s="25"/>
      <c r="C422" s="25"/>
      <c r="D422" s="101"/>
      <c r="E422" s="25"/>
      <c r="F422" s="44"/>
      <c r="G422" s="102"/>
      <c r="H422" s="101"/>
      <c r="I422" s="101"/>
      <c r="J422" s="101"/>
      <c r="K422" s="101"/>
      <c r="L422" s="103"/>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row>
    <row r="423" spans="1:35" x14ac:dyDescent="0.25">
      <c r="A423" s="105"/>
      <c r="B423" s="25"/>
      <c r="C423" s="25"/>
      <c r="D423" s="101"/>
      <c r="E423" s="25"/>
      <c r="F423" s="44"/>
      <c r="G423" s="102"/>
      <c r="H423" s="101"/>
      <c r="I423" s="101"/>
      <c r="J423" s="101"/>
      <c r="K423" s="101"/>
      <c r="L423" s="103"/>
      <c r="M423" s="101"/>
      <c r="N423" s="101"/>
      <c r="O423" s="101"/>
      <c r="P423" s="101"/>
      <c r="Q423" s="101"/>
      <c r="R423" s="101"/>
      <c r="S423" s="101"/>
      <c r="T423" s="101"/>
      <c r="U423" s="101"/>
      <c r="V423" s="101"/>
      <c r="W423" s="101"/>
      <c r="X423" s="101"/>
      <c r="Y423" s="101"/>
      <c r="Z423" s="101"/>
      <c r="AA423" s="101"/>
      <c r="AB423" s="101"/>
      <c r="AC423" s="101"/>
      <c r="AD423" s="101"/>
      <c r="AE423" s="101"/>
      <c r="AF423" s="101"/>
      <c r="AG423" s="101"/>
      <c r="AH423" s="101"/>
      <c r="AI423" s="101"/>
    </row>
    <row r="424" spans="1:35" x14ac:dyDescent="0.25">
      <c r="A424" s="105"/>
      <c r="B424" s="25"/>
      <c r="C424" s="25"/>
      <c r="D424" s="101"/>
      <c r="E424" s="25"/>
      <c r="F424" s="44"/>
      <c r="G424" s="102"/>
      <c r="H424" s="101"/>
      <c r="I424" s="101"/>
      <c r="J424" s="101"/>
      <c r="K424" s="101"/>
      <c r="L424" s="103"/>
      <c r="M424" s="101"/>
      <c r="N424" s="101"/>
      <c r="O424" s="101"/>
      <c r="P424" s="101"/>
      <c r="Q424" s="101"/>
      <c r="R424" s="101"/>
      <c r="S424" s="101"/>
      <c r="T424" s="101"/>
      <c r="U424" s="101"/>
      <c r="V424" s="101"/>
      <c r="W424" s="101"/>
      <c r="X424" s="101"/>
      <c r="Y424" s="101"/>
      <c r="Z424" s="101"/>
      <c r="AA424" s="101"/>
      <c r="AB424" s="101"/>
      <c r="AC424" s="101"/>
      <c r="AD424" s="101"/>
      <c r="AE424" s="101"/>
      <c r="AF424" s="101"/>
      <c r="AG424" s="101"/>
      <c r="AH424" s="101"/>
      <c r="AI424" s="101"/>
    </row>
    <row r="425" spans="1:35" x14ac:dyDescent="0.25">
      <c r="A425" s="105"/>
      <c r="B425" s="25"/>
      <c r="C425" s="25"/>
      <c r="D425" s="101"/>
      <c r="E425" s="25"/>
      <c r="F425" s="44"/>
      <c r="G425" s="102"/>
      <c r="H425" s="101"/>
      <c r="I425" s="101"/>
      <c r="J425" s="101"/>
      <c r="K425" s="101"/>
      <c r="L425" s="103"/>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row>
    <row r="426" spans="1:35" x14ac:dyDescent="0.25">
      <c r="A426" s="105"/>
      <c r="B426" s="25"/>
      <c r="C426" s="25"/>
      <c r="D426" s="101"/>
      <c r="E426" s="25"/>
      <c r="F426" s="44"/>
      <c r="G426" s="102"/>
      <c r="H426" s="101"/>
      <c r="I426" s="101"/>
      <c r="J426" s="101"/>
      <c r="K426" s="101"/>
      <c r="L426" s="103"/>
      <c r="M426" s="101"/>
      <c r="N426" s="101"/>
      <c r="O426" s="101"/>
      <c r="P426" s="101"/>
      <c r="Q426" s="101"/>
      <c r="R426" s="101"/>
      <c r="S426" s="101"/>
      <c r="T426" s="101"/>
      <c r="U426" s="101"/>
      <c r="V426" s="101"/>
      <c r="W426" s="101"/>
      <c r="X426" s="101"/>
      <c r="Y426" s="101"/>
      <c r="Z426" s="101"/>
      <c r="AA426" s="101"/>
      <c r="AB426" s="101"/>
      <c r="AC426" s="101"/>
      <c r="AD426" s="101"/>
      <c r="AE426" s="101"/>
      <c r="AF426" s="101"/>
      <c r="AG426" s="101"/>
      <c r="AH426" s="101"/>
      <c r="AI426" s="101"/>
    </row>
    <row r="427" spans="1:35" x14ac:dyDescent="0.25">
      <c r="A427" s="105"/>
      <c r="B427" s="25"/>
      <c r="C427" s="25"/>
      <c r="D427" s="101"/>
      <c r="E427" s="25"/>
      <c r="F427" s="44"/>
      <c r="G427" s="102"/>
      <c r="H427" s="101"/>
      <c r="I427" s="101"/>
      <c r="J427" s="101"/>
      <c r="K427" s="101"/>
      <c r="L427" s="103"/>
      <c r="M427" s="101"/>
      <c r="N427" s="101"/>
      <c r="O427" s="101"/>
      <c r="P427" s="101"/>
      <c r="Q427" s="101"/>
      <c r="R427" s="101"/>
      <c r="S427" s="101"/>
      <c r="T427" s="101"/>
      <c r="U427" s="101"/>
      <c r="V427" s="101"/>
      <c r="W427" s="101"/>
      <c r="X427" s="101"/>
      <c r="Y427" s="101"/>
      <c r="Z427" s="101"/>
      <c r="AA427" s="101"/>
      <c r="AB427" s="101"/>
      <c r="AC427" s="101"/>
      <c r="AD427" s="101"/>
      <c r="AE427" s="101"/>
      <c r="AF427" s="101"/>
      <c r="AG427" s="101"/>
      <c r="AH427" s="101"/>
      <c r="AI427" s="101"/>
    </row>
    <row r="428" spans="1:35" x14ac:dyDescent="0.25">
      <c r="A428" s="105"/>
      <c r="B428" s="25"/>
      <c r="C428" s="25"/>
      <c r="D428" s="101"/>
      <c r="E428" s="25"/>
      <c r="F428" s="44"/>
      <c r="G428" s="102"/>
      <c r="H428" s="101"/>
      <c r="I428" s="101"/>
      <c r="J428" s="101"/>
      <c r="K428" s="101"/>
      <c r="L428" s="103"/>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row>
    <row r="429" spans="1:35" x14ac:dyDescent="0.25">
      <c r="A429" s="105"/>
      <c r="B429" s="25"/>
      <c r="C429" s="25"/>
      <c r="D429" s="101"/>
      <c r="E429" s="25"/>
      <c r="F429" s="44"/>
      <c r="G429" s="102"/>
      <c r="H429" s="101"/>
      <c r="I429" s="101"/>
      <c r="J429" s="101"/>
      <c r="K429" s="101"/>
      <c r="L429" s="103"/>
      <c r="M429" s="101"/>
      <c r="N429" s="101"/>
      <c r="O429" s="101"/>
      <c r="P429" s="101"/>
      <c r="Q429" s="101"/>
      <c r="R429" s="101"/>
      <c r="S429" s="101"/>
      <c r="T429" s="101"/>
      <c r="U429" s="101"/>
      <c r="V429" s="101"/>
      <c r="W429" s="101"/>
      <c r="X429" s="101"/>
      <c r="Y429" s="101"/>
      <c r="Z429" s="101"/>
      <c r="AA429" s="101"/>
      <c r="AB429" s="101"/>
      <c r="AC429" s="101"/>
      <c r="AD429" s="101"/>
      <c r="AE429" s="101"/>
      <c r="AF429" s="101"/>
      <c r="AG429" s="101"/>
      <c r="AH429" s="101"/>
      <c r="AI429" s="101"/>
    </row>
    <row r="430" spans="1:35" x14ac:dyDescent="0.25">
      <c r="A430" s="105"/>
      <c r="B430" s="25"/>
      <c r="C430" s="25"/>
      <c r="D430" s="101"/>
      <c r="E430" s="25"/>
      <c r="F430" s="44"/>
      <c r="G430" s="102"/>
      <c r="H430" s="101"/>
      <c r="I430" s="101"/>
      <c r="J430" s="101"/>
      <c r="K430" s="101"/>
      <c r="L430" s="103"/>
      <c r="M430" s="101"/>
      <c r="N430" s="101"/>
      <c r="O430" s="101"/>
      <c r="P430" s="101"/>
      <c r="Q430" s="101"/>
      <c r="R430" s="101"/>
      <c r="S430" s="101"/>
      <c r="T430" s="101"/>
      <c r="U430" s="101"/>
      <c r="V430" s="101"/>
      <c r="W430" s="101"/>
      <c r="X430" s="101"/>
      <c r="Y430" s="101"/>
      <c r="Z430" s="101"/>
      <c r="AA430" s="101"/>
      <c r="AB430" s="101"/>
      <c r="AC430" s="101"/>
      <c r="AD430" s="101"/>
      <c r="AE430" s="101"/>
      <c r="AF430" s="101"/>
      <c r="AG430" s="101"/>
      <c r="AH430" s="101"/>
      <c r="AI430" s="101"/>
    </row>
    <row r="431" spans="1:35" x14ac:dyDescent="0.25">
      <c r="A431" s="105"/>
      <c r="B431" s="25"/>
      <c r="C431" s="25"/>
      <c r="D431" s="101"/>
      <c r="E431" s="25"/>
      <c r="F431" s="44"/>
      <c r="G431" s="102"/>
      <c r="H431" s="101"/>
      <c r="I431" s="101"/>
      <c r="J431" s="101"/>
      <c r="K431" s="101"/>
      <c r="L431" s="103"/>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row>
    <row r="432" spans="1:35" x14ac:dyDescent="0.25">
      <c r="A432" s="105"/>
      <c r="B432" s="25"/>
      <c r="C432" s="25"/>
      <c r="D432" s="101"/>
      <c r="E432" s="25"/>
      <c r="F432" s="44"/>
      <c r="G432" s="102"/>
      <c r="H432" s="101"/>
      <c r="I432" s="101"/>
      <c r="J432" s="101"/>
      <c r="K432" s="101"/>
      <c r="L432" s="103"/>
      <c r="M432" s="101"/>
      <c r="N432" s="101"/>
      <c r="O432" s="101"/>
      <c r="P432" s="101"/>
      <c r="Q432" s="101"/>
      <c r="R432" s="101"/>
      <c r="S432" s="101"/>
      <c r="T432" s="101"/>
      <c r="U432" s="101"/>
      <c r="V432" s="101"/>
      <c r="W432" s="101"/>
      <c r="X432" s="101"/>
      <c r="Y432" s="101"/>
      <c r="Z432" s="101"/>
      <c r="AA432" s="101"/>
      <c r="AB432" s="101"/>
      <c r="AC432" s="101"/>
      <c r="AD432" s="101"/>
      <c r="AE432" s="101"/>
      <c r="AF432" s="101"/>
      <c r="AG432" s="101"/>
      <c r="AH432" s="101"/>
      <c r="AI432" s="101"/>
    </row>
    <row r="433" spans="1:35" x14ac:dyDescent="0.25">
      <c r="A433" s="105"/>
      <c r="B433" s="25"/>
      <c r="C433" s="25"/>
      <c r="D433" s="101"/>
      <c r="E433" s="25"/>
      <c r="F433" s="44"/>
      <c r="G433" s="102"/>
      <c r="H433" s="101"/>
      <c r="I433" s="101"/>
      <c r="J433" s="101"/>
      <c r="K433" s="101"/>
      <c r="L433" s="103"/>
      <c r="M433" s="101"/>
      <c r="N433" s="101"/>
      <c r="O433" s="101"/>
      <c r="P433" s="101"/>
      <c r="Q433" s="101"/>
      <c r="R433" s="101"/>
      <c r="S433" s="101"/>
      <c r="T433" s="101"/>
      <c r="U433" s="101"/>
      <c r="V433" s="101"/>
      <c r="W433" s="101"/>
      <c r="X433" s="101"/>
      <c r="Y433" s="101"/>
      <c r="Z433" s="101"/>
      <c r="AA433" s="101"/>
      <c r="AB433" s="101"/>
      <c r="AC433" s="101"/>
      <c r="AD433" s="101"/>
      <c r="AE433" s="101"/>
      <c r="AF433" s="101"/>
      <c r="AG433" s="101"/>
      <c r="AH433" s="101"/>
      <c r="AI433" s="101"/>
    </row>
    <row r="434" spans="1:35" x14ac:dyDescent="0.25">
      <c r="A434" s="105"/>
      <c r="B434" s="25"/>
      <c r="C434" s="25"/>
      <c r="D434" s="101"/>
      <c r="E434" s="25"/>
      <c r="F434" s="44"/>
      <c r="G434" s="102"/>
      <c r="H434" s="101"/>
      <c r="I434" s="101"/>
      <c r="J434" s="101"/>
      <c r="K434" s="101"/>
      <c r="L434" s="103"/>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row>
    <row r="435" spans="1:35" x14ac:dyDescent="0.25">
      <c r="A435" s="105"/>
      <c r="B435" s="25"/>
      <c r="C435" s="25"/>
      <c r="D435" s="101"/>
      <c r="E435" s="25"/>
      <c r="F435" s="44"/>
      <c r="G435" s="102"/>
      <c r="H435" s="101"/>
      <c r="I435" s="101"/>
      <c r="J435" s="101"/>
      <c r="K435" s="101"/>
      <c r="L435" s="103"/>
      <c r="M435" s="101"/>
      <c r="N435" s="101"/>
      <c r="O435" s="101"/>
      <c r="P435" s="101"/>
      <c r="Q435" s="101"/>
      <c r="R435" s="101"/>
      <c r="S435" s="101"/>
      <c r="T435" s="101"/>
      <c r="U435" s="101"/>
      <c r="V435" s="101"/>
      <c r="W435" s="101"/>
      <c r="X435" s="101"/>
      <c r="Y435" s="101"/>
      <c r="Z435" s="101"/>
      <c r="AA435" s="101"/>
      <c r="AB435" s="101"/>
      <c r="AC435" s="101"/>
      <c r="AD435" s="101"/>
      <c r="AE435" s="101"/>
      <c r="AF435" s="101"/>
      <c r="AG435" s="101"/>
      <c r="AH435" s="101"/>
      <c r="AI435" s="101"/>
    </row>
    <row r="436" spans="1:35" x14ac:dyDescent="0.25">
      <c r="A436" s="105"/>
      <c r="B436" s="25"/>
      <c r="C436" s="25"/>
      <c r="D436" s="101"/>
      <c r="E436" s="25"/>
      <c r="F436" s="44"/>
      <c r="G436" s="102"/>
      <c r="H436" s="101"/>
      <c r="I436" s="101"/>
      <c r="J436" s="101"/>
      <c r="K436" s="101"/>
      <c r="L436" s="103"/>
      <c r="M436" s="101"/>
      <c r="N436" s="101"/>
      <c r="O436" s="101"/>
      <c r="P436" s="101"/>
      <c r="Q436" s="101"/>
      <c r="R436" s="101"/>
      <c r="S436" s="101"/>
      <c r="T436" s="101"/>
      <c r="U436" s="101"/>
      <c r="V436" s="101"/>
      <c r="W436" s="101"/>
      <c r="X436" s="101"/>
      <c r="Y436" s="101"/>
      <c r="Z436" s="101"/>
      <c r="AA436" s="101"/>
      <c r="AB436" s="101"/>
      <c r="AC436" s="101"/>
      <c r="AD436" s="101"/>
      <c r="AE436" s="101"/>
      <c r="AF436" s="101"/>
      <c r="AG436" s="101"/>
      <c r="AH436" s="101"/>
      <c r="AI436" s="101"/>
    </row>
    <row r="437" spans="1:35" x14ac:dyDescent="0.25">
      <c r="A437" s="105"/>
      <c r="B437" s="25"/>
      <c r="C437" s="25"/>
      <c r="D437" s="101"/>
      <c r="E437" s="25"/>
      <c r="F437" s="44"/>
      <c r="G437" s="102"/>
      <c r="H437" s="101"/>
      <c r="I437" s="101"/>
      <c r="J437" s="101"/>
      <c r="K437" s="101"/>
      <c r="L437" s="103"/>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row>
    <row r="438" spans="1:35" x14ac:dyDescent="0.25">
      <c r="A438" s="105"/>
      <c r="B438" s="25"/>
      <c r="C438" s="25"/>
      <c r="D438" s="101"/>
      <c r="E438" s="25"/>
      <c r="F438" s="44"/>
      <c r="G438" s="102"/>
      <c r="H438" s="101"/>
      <c r="I438" s="101"/>
      <c r="J438" s="101"/>
      <c r="K438" s="101"/>
      <c r="L438" s="103"/>
      <c r="M438" s="101"/>
      <c r="N438" s="101"/>
      <c r="O438" s="101"/>
      <c r="P438" s="101"/>
      <c r="Q438" s="101"/>
      <c r="R438" s="101"/>
      <c r="S438" s="101"/>
      <c r="T438" s="101"/>
      <c r="U438" s="101"/>
      <c r="V438" s="101"/>
      <c r="W438" s="101"/>
      <c r="X438" s="101"/>
      <c r="Y438" s="101"/>
      <c r="Z438" s="101"/>
      <c r="AA438" s="101"/>
      <c r="AB438" s="101"/>
      <c r="AC438" s="101"/>
      <c r="AD438" s="101"/>
      <c r="AE438" s="101"/>
      <c r="AF438" s="101"/>
      <c r="AG438" s="101"/>
      <c r="AH438" s="101"/>
      <c r="AI438" s="101"/>
    </row>
    <row r="439" spans="1:35" x14ac:dyDescent="0.25">
      <c r="A439" s="105"/>
      <c r="B439" s="25"/>
      <c r="C439" s="25"/>
      <c r="D439" s="101"/>
      <c r="E439" s="25"/>
      <c r="F439" s="44"/>
      <c r="G439" s="102"/>
      <c r="H439" s="101"/>
      <c r="I439" s="101"/>
      <c r="J439" s="101"/>
      <c r="K439" s="101"/>
      <c r="L439" s="103"/>
      <c r="M439" s="101"/>
      <c r="N439" s="101"/>
      <c r="O439" s="101"/>
      <c r="P439" s="101"/>
      <c r="Q439" s="101"/>
      <c r="R439" s="101"/>
      <c r="S439" s="101"/>
      <c r="T439" s="101"/>
      <c r="U439" s="101"/>
      <c r="V439" s="101"/>
      <c r="W439" s="101"/>
      <c r="X439" s="101"/>
      <c r="Y439" s="101"/>
      <c r="Z439" s="101"/>
      <c r="AA439" s="101"/>
      <c r="AB439" s="101"/>
      <c r="AC439" s="101"/>
      <c r="AD439" s="101"/>
      <c r="AE439" s="101"/>
      <c r="AF439" s="101"/>
      <c r="AG439" s="101"/>
      <c r="AH439" s="101"/>
      <c r="AI439" s="101"/>
    </row>
    <row r="440" spans="1:35" x14ac:dyDescent="0.25">
      <c r="A440" s="105"/>
      <c r="B440" s="25"/>
      <c r="C440" s="25"/>
      <c r="D440" s="101"/>
      <c r="E440" s="25"/>
      <c r="F440" s="44"/>
      <c r="G440" s="102"/>
      <c r="H440" s="101"/>
      <c r="I440" s="101"/>
      <c r="J440" s="101"/>
      <c r="K440" s="101"/>
      <c r="L440" s="103"/>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row>
    <row r="441" spans="1:35" x14ac:dyDescent="0.25">
      <c r="A441" s="105"/>
      <c r="B441" s="25"/>
      <c r="C441" s="25"/>
      <c r="D441" s="101"/>
      <c r="E441" s="25"/>
      <c r="F441" s="44"/>
      <c r="G441" s="102"/>
      <c r="H441" s="101"/>
      <c r="I441" s="101"/>
      <c r="J441" s="101"/>
      <c r="K441" s="101"/>
      <c r="L441" s="103"/>
      <c r="M441" s="101"/>
      <c r="N441" s="101"/>
      <c r="O441" s="101"/>
      <c r="P441" s="101"/>
      <c r="Q441" s="101"/>
      <c r="R441" s="101"/>
      <c r="S441" s="101"/>
      <c r="T441" s="101"/>
      <c r="U441" s="101"/>
      <c r="V441" s="101"/>
      <c r="W441" s="101"/>
      <c r="X441" s="101"/>
      <c r="Y441" s="101"/>
      <c r="Z441" s="101"/>
      <c r="AA441" s="101"/>
      <c r="AB441" s="101"/>
      <c r="AC441" s="101"/>
      <c r="AD441" s="101"/>
      <c r="AE441" s="101"/>
      <c r="AF441" s="101"/>
      <c r="AG441" s="101"/>
      <c r="AH441" s="101"/>
      <c r="AI441" s="101"/>
    </row>
    <row r="442" spans="1:35" x14ac:dyDescent="0.25">
      <c r="A442" s="105"/>
      <c r="B442" s="25"/>
      <c r="C442" s="25"/>
      <c r="D442" s="101"/>
      <c r="E442" s="25"/>
      <c r="F442" s="44"/>
      <c r="G442" s="102"/>
      <c r="H442" s="101"/>
      <c r="I442" s="101"/>
      <c r="J442" s="101"/>
      <c r="K442" s="101"/>
      <c r="L442" s="103"/>
      <c r="M442" s="101"/>
      <c r="N442" s="101"/>
      <c r="O442" s="101"/>
      <c r="P442" s="101"/>
      <c r="Q442" s="101"/>
      <c r="R442" s="101"/>
      <c r="S442" s="101"/>
      <c r="T442" s="101"/>
      <c r="U442" s="101"/>
      <c r="V442" s="101"/>
      <c r="W442" s="101"/>
      <c r="X442" s="101"/>
      <c r="Y442" s="101"/>
      <c r="Z442" s="101"/>
      <c r="AA442" s="101"/>
      <c r="AB442" s="101"/>
      <c r="AC442" s="101"/>
      <c r="AD442" s="101"/>
      <c r="AE442" s="101"/>
      <c r="AF442" s="101"/>
      <c r="AG442" s="101"/>
      <c r="AH442" s="101"/>
      <c r="AI442" s="101"/>
    </row>
    <row r="443" spans="1:35" x14ac:dyDescent="0.25">
      <c r="A443" s="105"/>
      <c r="B443" s="25"/>
      <c r="C443" s="25"/>
      <c r="D443" s="101"/>
      <c r="E443" s="25"/>
      <c r="F443" s="44"/>
      <c r="G443" s="102"/>
      <c r="H443" s="101"/>
      <c r="I443" s="101"/>
      <c r="J443" s="101"/>
      <c r="K443" s="101"/>
      <c r="L443" s="103"/>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row>
    <row r="444" spans="1:35" x14ac:dyDescent="0.25">
      <c r="A444" s="105"/>
      <c r="B444" s="25"/>
      <c r="C444" s="25"/>
      <c r="D444" s="101"/>
      <c r="E444" s="25"/>
      <c r="F444" s="44"/>
      <c r="G444" s="102"/>
      <c r="H444" s="101"/>
      <c r="I444" s="101"/>
      <c r="J444" s="101"/>
      <c r="K444" s="101"/>
      <c r="L444" s="103"/>
      <c r="M444" s="101"/>
      <c r="N444" s="101"/>
      <c r="O444" s="101"/>
      <c r="P444" s="101"/>
      <c r="Q444" s="101"/>
      <c r="R444" s="101"/>
      <c r="S444" s="101"/>
      <c r="T444" s="101"/>
      <c r="U444" s="101"/>
      <c r="V444" s="101"/>
      <c r="W444" s="101"/>
      <c r="X444" s="101"/>
      <c r="Y444" s="101"/>
      <c r="Z444" s="101"/>
      <c r="AA444" s="101"/>
      <c r="AB444" s="101"/>
      <c r="AC444" s="101"/>
      <c r="AD444" s="101"/>
      <c r="AE444" s="101"/>
      <c r="AF444" s="101"/>
      <c r="AG444" s="101"/>
      <c r="AH444" s="101"/>
      <c r="AI444" s="101"/>
    </row>
    <row r="445" spans="1:35" x14ac:dyDescent="0.25">
      <c r="A445" s="105"/>
      <c r="B445" s="25"/>
      <c r="C445" s="25"/>
      <c r="D445" s="101"/>
      <c r="E445" s="25"/>
      <c r="F445" s="44"/>
      <c r="G445" s="102"/>
      <c r="H445" s="101"/>
      <c r="I445" s="101"/>
      <c r="J445" s="101"/>
      <c r="K445" s="101"/>
      <c r="L445" s="103"/>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row>
    <row r="446" spans="1:35" x14ac:dyDescent="0.25">
      <c r="A446" s="105"/>
      <c r="B446" s="25"/>
      <c r="C446" s="25"/>
      <c r="D446" s="101"/>
      <c r="E446" s="25"/>
      <c r="F446" s="44"/>
      <c r="G446" s="102"/>
      <c r="H446" s="101"/>
      <c r="I446" s="101"/>
      <c r="J446" s="101"/>
      <c r="K446" s="101"/>
      <c r="L446" s="103"/>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row>
    <row r="447" spans="1:35" x14ac:dyDescent="0.25">
      <c r="A447" s="105"/>
      <c r="B447" s="25"/>
      <c r="C447" s="25"/>
      <c r="D447" s="101"/>
      <c r="E447" s="25"/>
      <c r="F447" s="44"/>
      <c r="G447" s="102"/>
      <c r="H447" s="101"/>
      <c r="I447" s="101"/>
      <c r="J447" s="101"/>
      <c r="K447" s="101"/>
      <c r="L447" s="103"/>
      <c r="M447" s="101"/>
      <c r="N447" s="101"/>
      <c r="O447" s="101"/>
      <c r="P447" s="101"/>
      <c r="Q447" s="101"/>
      <c r="R447" s="101"/>
      <c r="S447" s="101"/>
      <c r="T447" s="101"/>
      <c r="U447" s="101"/>
      <c r="V447" s="101"/>
      <c r="W447" s="101"/>
      <c r="X447" s="101"/>
      <c r="Y447" s="101"/>
      <c r="Z447" s="101"/>
      <c r="AA447" s="101"/>
      <c r="AB447" s="101"/>
      <c r="AC447" s="101"/>
      <c r="AD447" s="101"/>
      <c r="AE447" s="101"/>
      <c r="AF447" s="101"/>
      <c r="AG447" s="101"/>
      <c r="AH447" s="101"/>
      <c r="AI447" s="101"/>
    </row>
    <row r="448" spans="1:35" x14ac:dyDescent="0.25">
      <c r="A448" s="105"/>
      <c r="B448" s="25"/>
      <c r="C448" s="25"/>
      <c r="D448" s="101"/>
      <c r="E448" s="25"/>
      <c r="F448" s="44"/>
      <c r="G448" s="102"/>
      <c r="H448" s="101"/>
      <c r="I448" s="101"/>
      <c r="J448" s="101"/>
      <c r="K448" s="101"/>
      <c r="L448" s="103"/>
      <c r="M448" s="101"/>
      <c r="N448" s="101"/>
      <c r="O448" s="101"/>
      <c r="P448" s="101"/>
      <c r="Q448" s="101"/>
      <c r="R448" s="101"/>
      <c r="S448" s="101"/>
      <c r="T448" s="101"/>
      <c r="U448" s="101"/>
      <c r="V448" s="101"/>
      <c r="W448" s="101"/>
      <c r="X448" s="101"/>
      <c r="Y448" s="101"/>
      <c r="Z448" s="101"/>
      <c r="AA448" s="101"/>
      <c r="AB448" s="101"/>
      <c r="AC448" s="101"/>
      <c r="AD448" s="101"/>
      <c r="AE448" s="101"/>
      <c r="AF448" s="101"/>
      <c r="AG448" s="101"/>
      <c r="AH448" s="101"/>
      <c r="AI448" s="101"/>
    </row>
    <row r="449" spans="1:35" x14ac:dyDescent="0.25">
      <c r="A449" s="105"/>
      <c r="B449" s="25"/>
      <c r="C449" s="25"/>
      <c r="D449" s="101"/>
      <c r="E449" s="25"/>
      <c r="F449" s="44"/>
      <c r="G449" s="102"/>
      <c r="H449" s="101"/>
      <c r="I449" s="101"/>
      <c r="J449" s="101"/>
      <c r="K449" s="101"/>
      <c r="L449" s="103"/>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row>
    <row r="450" spans="1:35" x14ac:dyDescent="0.25">
      <c r="A450" s="105"/>
      <c r="B450" s="25"/>
      <c r="C450" s="25"/>
      <c r="D450" s="101"/>
      <c r="E450" s="25"/>
      <c r="F450" s="44"/>
      <c r="G450" s="102"/>
      <c r="H450" s="101"/>
      <c r="I450" s="101"/>
      <c r="J450" s="101"/>
      <c r="K450" s="101"/>
      <c r="L450" s="103"/>
      <c r="M450" s="101"/>
      <c r="N450" s="101"/>
      <c r="O450" s="101"/>
      <c r="P450" s="101"/>
      <c r="Q450" s="101"/>
      <c r="R450" s="101"/>
      <c r="S450" s="101"/>
      <c r="T450" s="101"/>
      <c r="U450" s="101"/>
      <c r="V450" s="101"/>
      <c r="W450" s="101"/>
      <c r="X450" s="101"/>
      <c r="Y450" s="101"/>
      <c r="Z450" s="101"/>
      <c r="AA450" s="101"/>
      <c r="AB450" s="101"/>
      <c r="AC450" s="101"/>
      <c r="AD450" s="101"/>
      <c r="AE450" s="101"/>
      <c r="AF450" s="101"/>
      <c r="AG450" s="101"/>
      <c r="AH450" s="101"/>
      <c r="AI450" s="101"/>
    </row>
    <row r="451" spans="1:35" x14ac:dyDescent="0.25">
      <c r="A451" s="105"/>
      <c r="B451" s="25"/>
      <c r="C451" s="25"/>
      <c r="D451" s="101"/>
      <c r="E451" s="25"/>
      <c r="F451" s="44"/>
      <c r="G451" s="102"/>
      <c r="H451" s="101"/>
      <c r="I451" s="101"/>
      <c r="J451" s="101"/>
      <c r="K451" s="101"/>
      <c r="L451" s="103"/>
      <c r="M451" s="101"/>
      <c r="N451" s="101"/>
      <c r="O451" s="101"/>
      <c r="P451" s="101"/>
      <c r="Q451" s="101"/>
      <c r="R451" s="101"/>
      <c r="S451" s="101"/>
      <c r="T451" s="101"/>
      <c r="U451" s="101"/>
      <c r="V451" s="101"/>
      <c r="W451" s="101"/>
      <c r="X451" s="101"/>
      <c r="Y451" s="101"/>
      <c r="Z451" s="101"/>
      <c r="AA451" s="101"/>
      <c r="AB451" s="101"/>
      <c r="AC451" s="101"/>
      <c r="AD451" s="101"/>
      <c r="AE451" s="101"/>
      <c r="AF451" s="101"/>
      <c r="AG451" s="101"/>
      <c r="AH451" s="101"/>
      <c r="AI451" s="101"/>
    </row>
    <row r="452" spans="1:35" x14ac:dyDescent="0.25">
      <c r="A452" s="105"/>
      <c r="B452" s="25"/>
      <c r="C452" s="25"/>
      <c r="D452" s="101"/>
      <c r="E452" s="25"/>
      <c r="F452" s="44"/>
      <c r="G452" s="102"/>
      <c r="H452" s="101"/>
      <c r="I452" s="101"/>
      <c r="J452" s="101"/>
      <c r="K452" s="101"/>
      <c r="L452" s="103"/>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row>
    <row r="453" spans="1:35" x14ac:dyDescent="0.25">
      <c r="A453" s="105"/>
      <c r="B453" s="25"/>
      <c r="C453" s="25"/>
      <c r="D453" s="101"/>
      <c r="E453" s="25"/>
      <c r="F453" s="44"/>
      <c r="G453" s="102"/>
      <c r="H453" s="101"/>
      <c r="I453" s="101"/>
      <c r="J453" s="101"/>
      <c r="K453" s="101"/>
      <c r="L453" s="103"/>
      <c r="M453" s="101"/>
      <c r="N453" s="101"/>
      <c r="O453" s="101"/>
      <c r="P453" s="101"/>
      <c r="Q453" s="101"/>
      <c r="R453" s="101"/>
      <c r="S453" s="101"/>
      <c r="T453" s="101"/>
      <c r="U453" s="101"/>
      <c r="V453" s="101"/>
      <c r="W453" s="101"/>
      <c r="X453" s="101"/>
      <c r="Y453" s="101"/>
      <c r="Z453" s="101"/>
      <c r="AA453" s="101"/>
      <c r="AB453" s="101"/>
      <c r="AC453" s="101"/>
      <c r="AD453" s="101"/>
      <c r="AE453" s="101"/>
      <c r="AF453" s="101"/>
      <c r="AG453" s="101"/>
      <c r="AH453" s="101"/>
      <c r="AI453" s="101"/>
    </row>
    <row r="454" spans="1:35" x14ac:dyDescent="0.25">
      <c r="A454" s="105"/>
      <c r="B454" s="25"/>
      <c r="C454" s="25"/>
      <c r="D454" s="101"/>
      <c r="E454" s="25"/>
      <c r="F454" s="44"/>
      <c r="G454" s="102"/>
      <c r="H454" s="101"/>
      <c r="I454" s="101"/>
      <c r="J454" s="101"/>
      <c r="K454" s="101"/>
      <c r="L454" s="103"/>
      <c r="M454" s="101"/>
      <c r="N454" s="101"/>
      <c r="O454" s="101"/>
      <c r="P454" s="101"/>
      <c r="Q454" s="101"/>
      <c r="R454" s="101"/>
      <c r="S454" s="101"/>
      <c r="T454" s="101"/>
      <c r="U454" s="101"/>
      <c r="V454" s="101"/>
      <c r="W454" s="101"/>
      <c r="X454" s="101"/>
      <c r="Y454" s="101"/>
      <c r="Z454" s="101"/>
      <c r="AA454" s="101"/>
      <c r="AB454" s="101"/>
      <c r="AC454" s="101"/>
      <c r="AD454" s="101"/>
      <c r="AE454" s="101"/>
      <c r="AF454" s="101"/>
      <c r="AG454" s="101"/>
      <c r="AH454" s="101"/>
      <c r="AI454" s="101"/>
    </row>
    <row r="455" spans="1:35" x14ac:dyDescent="0.25">
      <c r="A455" s="105"/>
      <c r="B455" s="25"/>
      <c r="C455" s="25"/>
      <c r="D455" s="101"/>
      <c r="E455" s="25"/>
      <c r="F455" s="44"/>
      <c r="G455" s="102"/>
      <c r="H455" s="101"/>
      <c r="I455" s="101"/>
      <c r="J455" s="101"/>
      <c r="K455" s="101"/>
      <c r="L455" s="103"/>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row>
    <row r="456" spans="1:35" x14ac:dyDescent="0.25">
      <c r="A456" s="105"/>
      <c r="B456" s="25"/>
      <c r="C456" s="25"/>
      <c r="D456" s="101"/>
      <c r="E456" s="25"/>
      <c r="F456" s="44"/>
      <c r="G456" s="102"/>
      <c r="H456" s="101"/>
      <c r="I456" s="101"/>
      <c r="J456" s="101"/>
      <c r="K456" s="101"/>
      <c r="L456" s="103"/>
      <c r="M456" s="101"/>
      <c r="N456" s="101"/>
      <c r="O456" s="101"/>
      <c r="P456" s="101"/>
      <c r="Q456" s="101"/>
      <c r="R456" s="101"/>
      <c r="S456" s="101"/>
      <c r="T456" s="101"/>
      <c r="U456" s="101"/>
      <c r="V456" s="101"/>
      <c r="W456" s="101"/>
      <c r="X456" s="101"/>
      <c r="Y456" s="101"/>
      <c r="Z456" s="101"/>
      <c r="AA456" s="101"/>
      <c r="AB456" s="101"/>
      <c r="AC456" s="101"/>
      <c r="AD456" s="101"/>
      <c r="AE456" s="101"/>
      <c r="AF456" s="101"/>
      <c r="AG456" s="101"/>
      <c r="AH456" s="101"/>
      <c r="AI456" s="101"/>
    </row>
    <row r="457" spans="1:35" x14ac:dyDescent="0.25">
      <c r="A457" s="105"/>
      <c r="B457" s="25"/>
      <c r="C457" s="25"/>
      <c r="D457" s="101"/>
      <c r="E457" s="25"/>
      <c r="F457" s="44"/>
      <c r="G457" s="102"/>
      <c r="H457" s="101"/>
      <c r="I457" s="101"/>
      <c r="J457" s="101"/>
      <c r="K457" s="101"/>
      <c r="L457" s="103"/>
      <c r="M457" s="101"/>
      <c r="N457" s="101"/>
      <c r="O457" s="101"/>
      <c r="P457" s="101"/>
      <c r="Q457" s="101"/>
      <c r="R457" s="101"/>
      <c r="S457" s="101"/>
      <c r="T457" s="101"/>
      <c r="U457" s="101"/>
      <c r="V457" s="101"/>
      <c r="W457" s="101"/>
      <c r="X457" s="101"/>
      <c r="Y457" s="101"/>
      <c r="Z457" s="101"/>
      <c r="AA457" s="101"/>
      <c r="AB457" s="101"/>
      <c r="AC457" s="101"/>
      <c r="AD457" s="101"/>
      <c r="AE457" s="101"/>
      <c r="AF457" s="101"/>
      <c r="AG457" s="101"/>
      <c r="AH457" s="101"/>
      <c r="AI457" s="101"/>
    </row>
    <row r="458" spans="1:35" x14ac:dyDescent="0.25">
      <c r="A458" s="105"/>
      <c r="B458" s="25"/>
      <c r="C458" s="25"/>
      <c r="D458" s="101"/>
      <c r="E458" s="25"/>
      <c r="F458" s="44"/>
      <c r="G458" s="102"/>
      <c r="H458" s="101"/>
      <c r="I458" s="101"/>
      <c r="J458" s="101"/>
      <c r="K458" s="101"/>
      <c r="L458" s="103"/>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row>
    <row r="459" spans="1:35" x14ac:dyDescent="0.25">
      <c r="A459" s="105"/>
      <c r="B459" s="25"/>
      <c r="C459" s="25"/>
      <c r="D459" s="101"/>
      <c r="E459" s="25"/>
      <c r="F459" s="44"/>
      <c r="G459" s="102"/>
      <c r="H459" s="101"/>
      <c r="I459" s="101"/>
      <c r="J459" s="101"/>
      <c r="K459" s="101"/>
      <c r="L459" s="103"/>
      <c r="M459" s="101"/>
      <c r="N459" s="101"/>
      <c r="O459" s="101"/>
      <c r="P459" s="101"/>
      <c r="Q459" s="101"/>
      <c r="R459" s="101"/>
      <c r="S459" s="101"/>
      <c r="T459" s="101"/>
      <c r="U459" s="101"/>
      <c r="V459" s="101"/>
      <c r="W459" s="101"/>
      <c r="X459" s="101"/>
      <c r="Y459" s="101"/>
      <c r="Z459" s="101"/>
      <c r="AA459" s="101"/>
      <c r="AB459" s="101"/>
      <c r="AC459" s="101"/>
      <c r="AD459" s="101"/>
      <c r="AE459" s="101"/>
      <c r="AF459" s="101"/>
      <c r="AG459" s="101"/>
      <c r="AH459" s="101"/>
      <c r="AI459" s="101"/>
    </row>
    <row r="460" spans="1:35" x14ac:dyDescent="0.25">
      <c r="A460" s="105"/>
      <c r="B460" s="25"/>
      <c r="C460" s="25"/>
      <c r="D460" s="101"/>
      <c r="E460" s="25"/>
      <c r="F460" s="44"/>
      <c r="G460" s="102"/>
      <c r="H460" s="101"/>
      <c r="I460" s="101"/>
      <c r="J460" s="101"/>
      <c r="K460" s="101"/>
      <c r="L460" s="103"/>
      <c r="M460" s="101"/>
      <c r="N460" s="101"/>
      <c r="O460" s="101"/>
      <c r="P460" s="101"/>
      <c r="Q460" s="101"/>
      <c r="R460" s="101"/>
      <c r="S460" s="101"/>
      <c r="T460" s="101"/>
      <c r="U460" s="101"/>
      <c r="V460" s="101"/>
      <c r="W460" s="101"/>
      <c r="X460" s="101"/>
      <c r="Y460" s="101"/>
      <c r="Z460" s="101"/>
      <c r="AA460" s="101"/>
      <c r="AB460" s="101"/>
      <c r="AC460" s="101"/>
      <c r="AD460" s="101"/>
      <c r="AE460" s="101"/>
      <c r="AF460" s="101"/>
      <c r="AG460" s="101"/>
      <c r="AH460" s="101"/>
      <c r="AI460" s="101"/>
    </row>
    <row r="461" spans="1:35" x14ac:dyDescent="0.25">
      <c r="A461" s="105"/>
      <c r="B461" s="25"/>
      <c r="C461" s="25"/>
      <c r="D461" s="101"/>
      <c r="E461" s="25"/>
      <c r="F461" s="44"/>
      <c r="G461" s="102"/>
      <c r="H461" s="101"/>
      <c r="I461" s="101"/>
      <c r="J461" s="101"/>
      <c r="K461" s="101"/>
      <c r="L461" s="103"/>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row>
    <row r="462" spans="1:35" x14ac:dyDescent="0.25">
      <c r="A462" s="105"/>
      <c r="B462" s="25"/>
      <c r="C462" s="25"/>
      <c r="D462" s="101"/>
      <c r="E462" s="25"/>
      <c r="F462" s="44"/>
      <c r="G462" s="102"/>
      <c r="H462" s="101"/>
      <c r="I462" s="101"/>
      <c r="J462" s="101"/>
      <c r="K462" s="101"/>
      <c r="L462" s="103"/>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row>
    <row r="463" spans="1:35" x14ac:dyDescent="0.25">
      <c r="A463" s="105"/>
      <c r="B463" s="25"/>
      <c r="C463" s="25"/>
      <c r="D463" s="101"/>
      <c r="E463" s="25"/>
      <c r="F463" s="44"/>
      <c r="G463" s="102"/>
      <c r="H463" s="101"/>
      <c r="I463" s="101"/>
      <c r="J463" s="101"/>
      <c r="K463" s="101"/>
      <c r="L463" s="103"/>
      <c r="M463" s="101"/>
      <c r="N463" s="101"/>
      <c r="O463" s="101"/>
      <c r="P463" s="101"/>
      <c r="Q463" s="101"/>
      <c r="R463" s="101"/>
      <c r="S463" s="101"/>
      <c r="T463" s="101"/>
      <c r="U463" s="101"/>
      <c r="V463" s="101"/>
      <c r="W463" s="101"/>
      <c r="X463" s="101"/>
      <c r="Y463" s="101"/>
      <c r="Z463" s="101"/>
      <c r="AA463" s="101"/>
      <c r="AB463" s="101"/>
      <c r="AC463" s="101"/>
      <c r="AD463" s="101"/>
      <c r="AE463" s="101"/>
      <c r="AF463" s="101"/>
      <c r="AG463" s="101"/>
      <c r="AH463" s="101"/>
      <c r="AI463" s="101"/>
    </row>
    <row r="464" spans="1:35" x14ac:dyDescent="0.25">
      <c r="A464" s="105"/>
      <c r="B464" s="25"/>
      <c r="C464" s="25"/>
      <c r="D464" s="101"/>
      <c r="E464" s="25"/>
      <c r="F464" s="44"/>
      <c r="G464" s="102"/>
      <c r="H464" s="101"/>
      <c r="I464" s="101"/>
      <c r="J464" s="101"/>
      <c r="K464" s="101"/>
      <c r="L464" s="103"/>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row>
    <row r="465" spans="1:35" x14ac:dyDescent="0.25">
      <c r="A465" s="105"/>
      <c r="B465" s="25"/>
      <c r="C465" s="25"/>
      <c r="D465" s="101"/>
      <c r="E465" s="25"/>
      <c r="F465" s="44"/>
      <c r="G465" s="102"/>
      <c r="H465" s="101"/>
      <c r="I465" s="101"/>
      <c r="J465" s="101"/>
      <c r="K465" s="101"/>
      <c r="L465" s="103"/>
      <c r="M465" s="101"/>
      <c r="N465" s="101"/>
      <c r="O465" s="101"/>
      <c r="P465" s="101"/>
      <c r="Q465" s="101"/>
      <c r="R465" s="101"/>
      <c r="S465" s="101"/>
      <c r="T465" s="101"/>
      <c r="U465" s="101"/>
      <c r="V465" s="101"/>
      <c r="W465" s="101"/>
      <c r="X465" s="101"/>
      <c r="Y465" s="101"/>
      <c r="Z465" s="101"/>
      <c r="AA465" s="101"/>
      <c r="AB465" s="101"/>
      <c r="AC465" s="101"/>
      <c r="AD465" s="101"/>
      <c r="AE465" s="101"/>
      <c r="AF465" s="101"/>
      <c r="AG465" s="101"/>
      <c r="AH465" s="101"/>
      <c r="AI465" s="101"/>
    </row>
    <row r="466" spans="1:35" x14ac:dyDescent="0.25">
      <c r="A466" s="105"/>
      <c r="B466" s="25"/>
      <c r="C466" s="25"/>
      <c r="D466" s="101"/>
      <c r="E466" s="25"/>
      <c r="F466" s="44"/>
      <c r="G466" s="102"/>
      <c r="H466" s="101"/>
      <c r="I466" s="101"/>
      <c r="J466" s="101"/>
      <c r="K466" s="101"/>
      <c r="L466" s="103"/>
      <c r="M466" s="101"/>
      <c r="N466" s="101"/>
      <c r="O466" s="101"/>
      <c r="P466" s="101"/>
      <c r="Q466" s="101"/>
      <c r="R466" s="101"/>
      <c r="S466" s="101"/>
      <c r="T466" s="101"/>
      <c r="U466" s="101"/>
      <c r="V466" s="101"/>
      <c r="W466" s="101"/>
      <c r="X466" s="101"/>
      <c r="Y466" s="101"/>
      <c r="Z466" s="101"/>
      <c r="AA466" s="101"/>
      <c r="AB466" s="101"/>
      <c r="AC466" s="101"/>
      <c r="AD466" s="101"/>
      <c r="AE466" s="101"/>
      <c r="AF466" s="101"/>
      <c r="AG466" s="101"/>
      <c r="AH466" s="101"/>
      <c r="AI466" s="101"/>
    </row>
    <row r="467" spans="1:35" x14ac:dyDescent="0.25">
      <c r="A467" s="105"/>
      <c r="B467" s="25"/>
      <c r="C467" s="25"/>
      <c r="D467" s="101"/>
      <c r="E467" s="25"/>
      <c r="F467" s="44"/>
      <c r="G467" s="102"/>
      <c r="H467" s="101"/>
      <c r="I467" s="101"/>
      <c r="J467" s="101"/>
      <c r="K467" s="101"/>
      <c r="L467" s="103"/>
      <c r="M467" s="101"/>
      <c r="N467" s="101"/>
      <c r="O467" s="101"/>
      <c r="P467" s="101"/>
      <c r="Q467" s="101"/>
      <c r="R467" s="101"/>
      <c r="S467" s="101"/>
      <c r="T467" s="101"/>
      <c r="U467" s="101"/>
      <c r="V467" s="101"/>
      <c r="W467" s="101"/>
      <c r="X467" s="101"/>
      <c r="Y467" s="101"/>
      <c r="Z467" s="101"/>
      <c r="AA467" s="101"/>
      <c r="AB467" s="101"/>
      <c r="AC467" s="101"/>
      <c r="AD467" s="101"/>
      <c r="AE467" s="101"/>
      <c r="AF467" s="101"/>
      <c r="AG467" s="101"/>
      <c r="AH467" s="101"/>
      <c r="AI467" s="101"/>
    </row>
    <row r="468" spans="1:35" x14ac:dyDescent="0.25">
      <c r="A468" s="105"/>
      <c r="B468" s="25"/>
      <c r="C468" s="25"/>
      <c r="D468" s="101"/>
      <c r="E468" s="25"/>
      <c r="F468" s="44"/>
      <c r="G468" s="102"/>
      <c r="H468" s="101"/>
      <c r="I468" s="101"/>
      <c r="J468" s="101"/>
      <c r="K468" s="101"/>
      <c r="L468" s="103"/>
      <c r="M468" s="101"/>
      <c r="N468" s="101"/>
      <c r="O468" s="101"/>
      <c r="P468" s="101"/>
      <c r="Q468" s="101"/>
      <c r="R468" s="101"/>
      <c r="S468" s="101"/>
      <c r="T468" s="101"/>
      <c r="U468" s="101"/>
      <c r="V468" s="101"/>
      <c r="W468" s="101"/>
      <c r="X468" s="101"/>
      <c r="Y468" s="101"/>
      <c r="Z468" s="101"/>
      <c r="AA468" s="101"/>
      <c r="AB468" s="101"/>
      <c r="AC468" s="101"/>
      <c r="AD468" s="101"/>
      <c r="AE468" s="101"/>
      <c r="AF468" s="101"/>
      <c r="AG468" s="101"/>
      <c r="AH468" s="101"/>
      <c r="AI468" s="101"/>
    </row>
    <row r="469" spans="1:35" x14ac:dyDescent="0.25">
      <c r="A469" s="105"/>
      <c r="B469" s="25"/>
      <c r="C469" s="25"/>
      <c r="D469" s="101"/>
      <c r="E469" s="25"/>
      <c r="F469" s="44"/>
      <c r="G469" s="102"/>
      <c r="H469" s="101"/>
      <c r="I469" s="101"/>
      <c r="J469" s="101"/>
      <c r="K469" s="101"/>
      <c r="L469" s="103"/>
      <c r="M469" s="101"/>
      <c r="N469" s="101"/>
      <c r="O469" s="101"/>
      <c r="P469" s="101"/>
      <c r="Q469" s="101"/>
      <c r="R469" s="101"/>
      <c r="S469" s="101"/>
      <c r="T469" s="101"/>
      <c r="U469" s="101"/>
      <c r="V469" s="101"/>
      <c r="W469" s="101"/>
      <c r="X469" s="101"/>
      <c r="Y469" s="101"/>
      <c r="Z469" s="101"/>
      <c r="AA469" s="101"/>
      <c r="AB469" s="101"/>
      <c r="AC469" s="101"/>
      <c r="AD469" s="101"/>
      <c r="AE469" s="101"/>
      <c r="AF469" s="101"/>
      <c r="AG469" s="101"/>
      <c r="AH469" s="101"/>
      <c r="AI469" s="101"/>
    </row>
    <row r="470" spans="1:35" x14ac:dyDescent="0.25">
      <c r="A470" s="105"/>
      <c r="B470" s="25"/>
      <c r="C470" s="25"/>
      <c r="D470" s="101"/>
      <c r="E470" s="25"/>
      <c r="F470" s="44"/>
      <c r="G470" s="102"/>
      <c r="H470" s="101"/>
      <c r="I470" s="101"/>
      <c r="J470" s="101"/>
      <c r="K470" s="101"/>
      <c r="L470" s="103"/>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row>
    <row r="471" spans="1:35" x14ac:dyDescent="0.25">
      <c r="A471" s="105"/>
      <c r="B471" s="25"/>
      <c r="C471" s="25"/>
      <c r="D471" s="101"/>
      <c r="E471" s="25"/>
      <c r="F471" s="44"/>
      <c r="G471" s="102"/>
      <c r="H471" s="101"/>
      <c r="I471" s="101"/>
      <c r="J471" s="101"/>
      <c r="K471" s="101"/>
      <c r="L471" s="103"/>
      <c r="M471" s="101"/>
      <c r="N471" s="101"/>
      <c r="O471" s="101"/>
      <c r="P471" s="101"/>
      <c r="Q471" s="101"/>
      <c r="R471" s="101"/>
      <c r="S471" s="101"/>
      <c r="T471" s="101"/>
      <c r="U471" s="101"/>
      <c r="V471" s="101"/>
      <c r="W471" s="101"/>
      <c r="X471" s="101"/>
      <c r="Y471" s="101"/>
      <c r="Z471" s="101"/>
      <c r="AA471" s="101"/>
      <c r="AB471" s="101"/>
      <c r="AC471" s="101"/>
      <c r="AD471" s="101"/>
      <c r="AE471" s="101"/>
      <c r="AF471" s="101"/>
      <c r="AG471" s="101"/>
      <c r="AH471" s="101"/>
      <c r="AI471" s="101"/>
    </row>
    <row r="472" spans="1:35" x14ac:dyDescent="0.25">
      <c r="A472" s="105"/>
      <c r="B472" s="25"/>
      <c r="C472" s="25"/>
      <c r="D472" s="101"/>
      <c r="E472" s="25"/>
      <c r="F472" s="44"/>
      <c r="G472" s="102"/>
      <c r="H472" s="101"/>
      <c r="I472" s="101"/>
      <c r="J472" s="101"/>
      <c r="K472" s="101"/>
      <c r="L472" s="103"/>
      <c r="M472" s="101"/>
      <c r="N472" s="101"/>
      <c r="O472" s="101"/>
      <c r="P472" s="101"/>
      <c r="Q472" s="101"/>
      <c r="R472" s="101"/>
      <c r="S472" s="101"/>
      <c r="T472" s="101"/>
      <c r="U472" s="101"/>
      <c r="V472" s="101"/>
      <c r="W472" s="101"/>
      <c r="X472" s="101"/>
      <c r="Y472" s="101"/>
      <c r="Z472" s="101"/>
      <c r="AA472" s="101"/>
      <c r="AB472" s="101"/>
      <c r="AC472" s="101"/>
      <c r="AD472" s="101"/>
      <c r="AE472" s="101"/>
      <c r="AF472" s="101"/>
      <c r="AG472" s="101"/>
      <c r="AH472" s="101"/>
      <c r="AI472" s="101"/>
    </row>
    <row r="473" spans="1:35" x14ac:dyDescent="0.25">
      <c r="A473" s="105"/>
      <c r="B473" s="25"/>
      <c r="C473" s="25"/>
      <c r="D473" s="101"/>
      <c r="E473" s="25"/>
      <c r="F473" s="44"/>
      <c r="G473" s="102"/>
      <c r="H473" s="101"/>
      <c r="I473" s="101"/>
      <c r="J473" s="101"/>
      <c r="K473" s="101"/>
      <c r="L473" s="103"/>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row>
    <row r="474" spans="1:35" x14ac:dyDescent="0.25">
      <c r="A474" s="105"/>
      <c r="B474" s="25"/>
      <c r="C474" s="25"/>
      <c r="D474" s="101"/>
      <c r="E474" s="25"/>
      <c r="F474" s="44"/>
      <c r="G474" s="102"/>
      <c r="H474" s="101"/>
      <c r="I474" s="101"/>
      <c r="J474" s="101"/>
      <c r="K474" s="101"/>
      <c r="L474" s="103"/>
      <c r="M474" s="101"/>
      <c r="N474" s="101"/>
      <c r="O474" s="101"/>
      <c r="P474" s="101"/>
      <c r="Q474" s="101"/>
      <c r="R474" s="101"/>
      <c r="S474" s="101"/>
      <c r="T474" s="101"/>
      <c r="U474" s="101"/>
      <c r="V474" s="101"/>
      <c r="W474" s="101"/>
      <c r="X474" s="101"/>
      <c r="Y474" s="101"/>
      <c r="Z474" s="101"/>
      <c r="AA474" s="101"/>
      <c r="AB474" s="101"/>
      <c r="AC474" s="101"/>
      <c r="AD474" s="101"/>
      <c r="AE474" s="101"/>
      <c r="AF474" s="101"/>
      <c r="AG474" s="101"/>
      <c r="AH474" s="101"/>
      <c r="AI474" s="101"/>
    </row>
    <row r="475" spans="1:35" x14ac:dyDescent="0.25">
      <c r="A475" s="105"/>
      <c r="B475" s="25"/>
      <c r="C475" s="25"/>
      <c r="D475" s="101"/>
      <c r="E475" s="25"/>
      <c r="F475" s="44"/>
      <c r="G475" s="102"/>
      <c r="H475" s="101"/>
      <c r="I475" s="101"/>
      <c r="J475" s="101"/>
      <c r="K475" s="101"/>
      <c r="L475" s="103"/>
      <c r="M475" s="101"/>
      <c r="N475" s="101"/>
      <c r="O475" s="101"/>
      <c r="P475" s="101"/>
      <c r="Q475" s="101"/>
      <c r="R475" s="101"/>
      <c r="S475" s="101"/>
      <c r="T475" s="101"/>
      <c r="U475" s="101"/>
      <c r="V475" s="101"/>
      <c r="W475" s="101"/>
      <c r="X475" s="101"/>
      <c r="Y475" s="101"/>
      <c r="Z475" s="101"/>
      <c r="AA475" s="101"/>
      <c r="AB475" s="101"/>
      <c r="AC475" s="101"/>
      <c r="AD475" s="101"/>
      <c r="AE475" s="101"/>
      <c r="AF475" s="101"/>
      <c r="AG475" s="101"/>
      <c r="AH475" s="101"/>
      <c r="AI475" s="101"/>
    </row>
    <row r="476" spans="1:35" x14ac:dyDescent="0.25">
      <c r="A476" s="105"/>
      <c r="B476" s="25"/>
      <c r="C476" s="25"/>
      <c r="D476" s="101"/>
      <c r="E476" s="25"/>
      <c r="F476" s="44"/>
      <c r="G476" s="102"/>
      <c r="H476" s="101"/>
      <c r="I476" s="101"/>
      <c r="J476" s="101"/>
      <c r="K476" s="101"/>
      <c r="L476" s="103"/>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row>
    <row r="477" spans="1:35" x14ac:dyDescent="0.25">
      <c r="A477" s="105"/>
      <c r="B477" s="25"/>
      <c r="C477" s="25"/>
      <c r="D477" s="101"/>
      <c r="E477" s="25"/>
      <c r="F477" s="44"/>
      <c r="G477" s="102"/>
      <c r="H477" s="101"/>
      <c r="I477" s="101"/>
      <c r="J477" s="101"/>
      <c r="K477" s="101"/>
      <c r="L477" s="103"/>
      <c r="M477" s="101"/>
      <c r="N477" s="101"/>
      <c r="O477" s="101"/>
      <c r="P477" s="101"/>
      <c r="Q477" s="101"/>
      <c r="R477" s="101"/>
      <c r="S477" s="101"/>
      <c r="T477" s="101"/>
      <c r="U477" s="101"/>
      <c r="V477" s="101"/>
      <c r="W477" s="101"/>
      <c r="X477" s="101"/>
      <c r="Y477" s="101"/>
      <c r="Z477" s="101"/>
      <c r="AA477" s="101"/>
      <c r="AB477" s="101"/>
      <c r="AC477" s="101"/>
      <c r="AD477" s="101"/>
      <c r="AE477" s="101"/>
      <c r="AF477" s="101"/>
      <c r="AG477" s="101"/>
      <c r="AH477" s="101"/>
      <c r="AI477" s="101"/>
    </row>
    <row r="478" spans="1:35" x14ac:dyDescent="0.25">
      <c r="A478" s="105"/>
      <c r="B478" s="25"/>
      <c r="C478" s="25"/>
      <c r="D478" s="101"/>
      <c r="E478" s="25"/>
      <c r="F478" s="44"/>
      <c r="G478" s="102"/>
      <c r="H478" s="101"/>
      <c r="I478" s="101"/>
      <c r="J478" s="101"/>
      <c r="K478" s="101"/>
      <c r="L478" s="103"/>
      <c r="M478" s="101"/>
      <c r="N478" s="101"/>
      <c r="O478" s="101"/>
      <c r="P478" s="101"/>
      <c r="Q478" s="101"/>
      <c r="R478" s="101"/>
      <c r="S478" s="101"/>
      <c r="T478" s="101"/>
      <c r="U478" s="101"/>
      <c r="V478" s="101"/>
      <c r="W478" s="101"/>
      <c r="X478" s="101"/>
      <c r="Y478" s="101"/>
      <c r="Z478" s="101"/>
      <c r="AA478" s="101"/>
      <c r="AB478" s="101"/>
      <c r="AC478" s="101"/>
      <c r="AD478" s="101"/>
      <c r="AE478" s="101"/>
      <c r="AF478" s="101"/>
      <c r="AG478" s="101"/>
      <c r="AH478" s="101"/>
      <c r="AI478" s="101"/>
    </row>
    <row r="479" spans="1:35" x14ac:dyDescent="0.25">
      <c r="A479" s="105"/>
      <c r="B479" s="25"/>
      <c r="C479" s="25"/>
      <c r="D479" s="101"/>
      <c r="E479" s="25"/>
      <c r="F479" s="44"/>
      <c r="G479" s="102"/>
      <c r="H479" s="101"/>
      <c r="I479" s="101"/>
      <c r="J479" s="101"/>
      <c r="K479" s="101"/>
      <c r="L479" s="103"/>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row>
    <row r="480" spans="1:35" x14ac:dyDescent="0.25">
      <c r="A480" s="105"/>
      <c r="B480" s="25"/>
      <c r="C480" s="25"/>
      <c r="D480" s="101"/>
      <c r="E480" s="25"/>
      <c r="F480" s="44"/>
      <c r="G480" s="102"/>
      <c r="H480" s="101"/>
      <c r="I480" s="101"/>
      <c r="J480" s="101"/>
      <c r="K480" s="101"/>
      <c r="L480" s="103"/>
      <c r="M480" s="101"/>
      <c r="N480" s="101"/>
      <c r="O480" s="101"/>
      <c r="P480" s="101"/>
      <c r="Q480" s="101"/>
      <c r="R480" s="101"/>
      <c r="S480" s="101"/>
      <c r="T480" s="101"/>
      <c r="U480" s="101"/>
      <c r="V480" s="101"/>
      <c r="W480" s="101"/>
      <c r="X480" s="101"/>
      <c r="Y480" s="101"/>
      <c r="Z480" s="101"/>
      <c r="AA480" s="101"/>
      <c r="AB480" s="101"/>
      <c r="AC480" s="101"/>
      <c r="AD480" s="101"/>
      <c r="AE480" s="101"/>
      <c r="AF480" s="101"/>
      <c r="AG480" s="101"/>
      <c r="AH480" s="101"/>
      <c r="AI480" s="101"/>
    </row>
    <row r="481" spans="1:35" x14ac:dyDescent="0.25">
      <c r="A481" s="105"/>
      <c r="B481" s="25"/>
      <c r="C481" s="25"/>
      <c r="D481" s="101"/>
      <c r="E481" s="25"/>
      <c r="F481" s="44"/>
      <c r="G481" s="102"/>
      <c r="H481" s="101"/>
      <c r="I481" s="101"/>
      <c r="J481" s="101"/>
      <c r="K481" s="101"/>
      <c r="L481" s="103"/>
      <c r="M481" s="101"/>
      <c r="N481" s="101"/>
      <c r="O481" s="101"/>
      <c r="P481" s="101"/>
      <c r="Q481" s="101"/>
      <c r="R481" s="101"/>
      <c r="S481" s="101"/>
      <c r="T481" s="101"/>
      <c r="U481" s="101"/>
      <c r="V481" s="101"/>
      <c r="W481" s="101"/>
      <c r="X481" s="101"/>
      <c r="Y481" s="101"/>
      <c r="Z481" s="101"/>
      <c r="AA481" s="101"/>
      <c r="AB481" s="101"/>
      <c r="AC481" s="101"/>
      <c r="AD481" s="101"/>
      <c r="AE481" s="101"/>
      <c r="AF481" s="101"/>
      <c r="AG481" s="101"/>
      <c r="AH481" s="101"/>
      <c r="AI481" s="101"/>
    </row>
    <row r="482" spans="1:35" x14ac:dyDescent="0.25">
      <c r="A482" s="105"/>
      <c r="B482" s="25"/>
      <c r="C482" s="25"/>
      <c r="D482" s="101"/>
      <c r="E482" s="25"/>
      <c r="F482" s="44"/>
      <c r="G482" s="102"/>
      <c r="H482" s="101"/>
      <c r="I482" s="101"/>
      <c r="J482" s="101"/>
      <c r="K482" s="101"/>
      <c r="L482" s="103"/>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row>
    <row r="483" spans="1:35" x14ac:dyDescent="0.25">
      <c r="A483" s="105"/>
      <c r="B483" s="25"/>
      <c r="C483" s="25"/>
      <c r="D483" s="101"/>
      <c r="E483" s="25"/>
      <c r="F483" s="44"/>
      <c r="G483" s="102"/>
      <c r="H483" s="101"/>
      <c r="I483" s="101"/>
      <c r="J483" s="101"/>
      <c r="K483" s="101"/>
      <c r="L483" s="103"/>
      <c r="M483" s="101"/>
      <c r="N483" s="101"/>
      <c r="O483" s="101"/>
      <c r="P483" s="101"/>
      <c r="Q483" s="101"/>
      <c r="R483" s="101"/>
      <c r="S483" s="101"/>
      <c r="T483" s="101"/>
      <c r="U483" s="101"/>
      <c r="V483" s="101"/>
      <c r="W483" s="101"/>
      <c r="X483" s="101"/>
      <c r="Y483" s="101"/>
      <c r="Z483" s="101"/>
      <c r="AA483" s="101"/>
      <c r="AB483" s="101"/>
      <c r="AC483" s="101"/>
      <c r="AD483" s="101"/>
      <c r="AE483" s="101"/>
      <c r="AF483" s="101"/>
      <c r="AG483" s="101"/>
      <c r="AH483" s="101"/>
      <c r="AI483" s="101"/>
    </row>
    <row r="484" spans="1:35" x14ac:dyDescent="0.25">
      <c r="A484" s="105"/>
      <c r="B484" s="25"/>
      <c r="C484" s="25"/>
      <c r="D484" s="101"/>
      <c r="E484" s="25"/>
      <c r="F484" s="44"/>
      <c r="G484" s="102"/>
      <c r="H484" s="101"/>
      <c r="I484" s="101"/>
      <c r="J484" s="101"/>
      <c r="K484" s="101"/>
      <c r="L484" s="103"/>
      <c r="M484" s="101"/>
      <c r="N484" s="101"/>
      <c r="O484" s="101"/>
      <c r="P484" s="101"/>
      <c r="Q484" s="101"/>
      <c r="R484" s="101"/>
      <c r="S484" s="101"/>
      <c r="T484" s="101"/>
      <c r="U484" s="101"/>
      <c r="V484" s="101"/>
      <c r="W484" s="101"/>
      <c r="X484" s="101"/>
      <c r="Y484" s="101"/>
      <c r="Z484" s="101"/>
      <c r="AA484" s="101"/>
      <c r="AB484" s="101"/>
      <c r="AC484" s="101"/>
      <c r="AD484" s="101"/>
      <c r="AE484" s="101"/>
      <c r="AF484" s="101"/>
      <c r="AG484" s="101"/>
      <c r="AH484" s="101"/>
      <c r="AI484" s="101"/>
    </row>
    <row r="485" spans="1:35" x14ac:dyDescent="0.25">
      <c r="A485" s="105"/>
      <c r="B485" s="25"/>
      <c r="C485" s="25"/>
      <c r="D485" s="101"/>
      <c r="E485" s="25"/>
      <c r="F485" s="44"/>
      <c r="G485" s="102"/>
      <c r="H485" s="101"/>
      <c r="I485" s="101"/>
      <c r="J485" s="101"/>
      <c r="K485" s="101"/>
      <c r="L485" s="103"/>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row>
    <row r="486" spans="1:35" x14ac:dyDescent="0.25">
      <c r="A486" s="105"/>
      <c r="B486" s="25"/>
      <c r="C486" s="25"/>
      <c r="D486" s="101"/>
      <c r="E486" s="25"/>
      <c r="F486" s="44"/>
      <c r="G486" s="102"/>
      <c r="H486" s="101"/>
      <c r="I486" s="101"/>
      <c r="J486" s="101"/>
      <c r="K486" s="101"/>
      <c r="L486" s="103"/>
      <c r="M486" s="101"/>
      <c r="N486" s="101"/>
      <c r="O486" s="101"/>
      <c r="P486" s="101"/>
      <c r="Q486" s="101"/>
      <c r="R486" s="101"/>
      <c r="S486" s="101"/>
      <c r="T486" s="101"/>
      <c r="U486" s="101"/>
      <c r="V486" s="101"/>
      <c r="W486" s="101"/>
      <c r="X486" s="101"/>
      <c r="Y486" s="101"/>
      <c r="Z486" s="101"/>
      <c r="AA486" s="101"/>
      <c r="AB486" s="101"/>
      <c r="AC486" s="101"/>
      <c r="AD486" s="101"/>
      <c r="AE486" s="101"/>
      <c r="AF486" s="101"/>
      <c r="AG486" s="101"/>
      <c r="AH486" s="101"/>
      <c r="AI486" s="101"/>
    </row>
    <row r="487" spans="1:35" x14ac:dyDescent="0.25">
      <c r="A487" s="105"/>
      <c r="B487" s="25"/>
      <c r="C487" s="25"/>
      <c r="D487" s="101"/>
      <c r="E487" s="25"/>
      <c r="F487" s="44"/>
      <c r="G487" s="102"/>
      <c r="H487" s="101"/>
      <c r="I487" s="101"/>
      <c r="J487" s="101"/>
      <c r="K487" s="101"/>
      <c r="L487" s="103"/>
      <c r="M487" s="101"/>
      <c r="N487" s="101"/>
      <c r="O487" s="101"/>
      <c r="P487" s="101"/>
      <c r="Q487" s="101"/>
      <c r="R487" s="101"/>
      <c r="S487" s="101"/>
      <c r="T487" s="101"/>
      <c r="U487" s="101"/>
      <c r="V487" s="101"/>
      <c r="W487" s="101"/>
      <c r="X487" s="101"/>
      <c r="Y487" s="101"/>
      <c r="Z487" s="101"/>
      <c r="AA487" s="101"/>
      <c r="AB487" s="101"/>
      <c r="AC487" s="101"/>
      <c r="AD487" s="101"/>
      <c r="AE487" s="101"/>
      <c r="AF487" s="101"/>
      <c r="AG487" s="101"/>
      <c r="AH487" s="101"/>
      <c r="AI487" s="101"/>
    </row>
    <row r="488" spans="1:35" x14ac:dyDescent="0.25">
      <c r="A488" s="105"/>
      <c r="B488" s="25"/>
      <c r="C488" s="25"/>
      <c r="D488" s="101"/>
      <c r="E488" s="25"/>
      <c r="F488" s="44"/>
      <c r="G488" s="102"/>
      <c r="H488" s="101"/>
      <c r="I488" s="101"/>
      <c r="J488" s="101"/>
      <c r="K488" s="101"/>
      <c r="L488" s="103"/>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row>
    <row r="489" spans="1:35" x14ac:dyDescent="0.25">
      <c r="A489" s="105"/>
      <c r="B489" s="25"/>
      <c r="C489" s="25"/>
      <c r="D489" s="101"/>
      <c r="E489" s="25"/>
      <c r="F489" s="44"/>
      <c r="G489" s="102"/>
      <c r="H489" s="101"/>
      <c r="I489" s="101"/>
      <c r="J489" s="101"/>
      <c r="K489" s="101"/>
      <c r="L489" s="103"/>
      <c r="M489" s="101"/>
      <c r="N489" s="101"/>
      <c r="O489" s="101"/>
      <c r="P489" s="101"/>
      <c r="Q489" s="101"/>
      <c r="R489" s="101"/>
      <c r="S489" s="101"/>
      <c r="T489" s="101"/>
      <c r="U489" s="101"/>
      <c r="V489" s="101"/>
      <c r="W489" s="101"/>
      <c r="X489" s="101"/>
      <c r="Y489" s="101"/>
      <c r="Z489" s="101"/>
      <c r="AA489" s="101"/>
      <c r="AB489" s="101"/>
      <c r="AC489" s="101"/>
      <c r="AD489" s="101"/>
      <c r="AE489" s="101"/>
      <c r="AF489" s="101"/>
      <c r="AG489" s="101"/>
      <c r="AH489" s="101"/>
      <c r="AI489" s="101"/>
    </row>
    <row r="490" spans="1:35" x14ac:dyDescent="0.25">
      <c r="A490" s="105"/>
      <c r="B490" s="25"/>
      <c r="C490" s="25"/>
      <c r="D490" s="101"/>
      <c r="E490" s="25"/>
      <c r="F490" s="44"/>
      <c r="G490" s="102"/>
      <c r="H490" s="101"/>
      <c r="I490" s="101"/>
      <c r="J490" s="101"/>
      <c r="K490" s="101"/>
      <c r="L490" s="103"/>
      <c r="M490" s="101"/>
      <c r="N490" s="101"/>
      <c r="O490" s="101"/>
      <c r="P490" s="101"/>
      <c r="Q490" s="101"/>
      <c r="R490" s="101"/>
      <c r="S490" s="101"/>
      <c r="T490" s="101"/>
      <c r="U490" s="101"/>
      <c r="V490" s="101"/>
      <c r="W490" s="101"/>
      <c r="X490" s="101"/>
      <c r="Y490" s="101"/>
      <c r="Z490" s="101"/>
      <c r="AA490" s="101"/>
      <c r="AB490" s="101"/>
      <c r="AC490" s="101"/>
      <c r="AD490" s="101"/>
      <c r="AE490" s="101"/>
      <c r="AF490" s="101"/>
      <c r="AG490" s="101"/>
      <c r="AH490" s="101"/>
      <c r="AI490" s="101"/>
    </row>
    <row r="491" spans="1:35" x14ac:dyDescent="0.25">
      <c r="A491" s="105"/>
      <c r="B491" s="25"/>
      <c r="C491" s="25"/>
      <c r="D491" s="101"/>
      <c r="E491" s="25"/>
      <c r="F491" s="44"/>
      <c r="G491" s="102"/>
      <c r="H491" s="101"/>
      <c r="I491" s="101"/>
      <c r="J491" s="101"/>
      <c r="K491" s="101"/>
      <c r="L491" s="103"/>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row>
    <row r="492" spans="1:35" x14ac:dyDescent="0.25">
      <c r="A492" s="105"/>
      <c r="B492" s="25"/>
      <c r="C492" s="25"/>
      <c r="D492" s="101"/>
      <c r="E492" s="25"/>
      <c r="F492" s="44"/>
      <c r="G492" s="102"/>
      <c r="H492" s="101"/>
      <c r="I492" s="101"/>
      <c r="J492" s="101"/>
      <c r="K492" s="101"/>
      <c r="L492" s="103"/>
      <c r="M492" s="101"/>
      <c r="N492" s="101"/>
      <c r="O492" s="101"/>
      <c r="P492" s="101"/>
      <c r="Q492" s="101"/>
      <c r="R492" s="101"/>
      <c r="S492" s="101"/>
      <c r="T492" s="101"/>
      <c r="U492" s="101"/>
      <c r="V492" s="101"/>
      <c r="W492" s="101"/>
      <c r="X492" s="101"/>
      <c r="Y492" s="101"/>
      <c r="Z492" s="101"/>
      <c r="AA492" s="101"/>
      <c r="AB492" s="101"/>
      <c r="AC492" s="101"/>
      <c r="AD492" s="101"/>
      <c r="AE492" s="101"/>
      <c r="AF492" s="101"/>
      <c r="AG492" s="101"/>
      <c r="AH492" s="101"/>
      <c r="AI492" s="101"/>
    </row>
    <row r="493" spans="1:35" x14ac:dyDescent="0.25">
      <c r="A493" s="105"/>
      <c r="B493" s="25"/>
      <c r="C493" s="25"/>
      <c r="D493" s="101"/>
      <c r="E493" s="25"/>
      <c r="F493" s="44"/>
      <c r="G493" s="102"/>
      <c r="H493" s="101"/>
      <c r="I493" s="101"/>
      <c r="J493" s="101"/>
      <c r="K493" s="101"/>
      <c r="L493" s="103"/>
      <c r="M493" s="101"/>
      <c r="N493" s="101"/>
      <c r="O493" s="101"/>
      <c r="P493" s="101"/>
      <c r="Q493" s="101"/>
      <c r="R493" s="101"/>
      <c r="S493" s="101"/>
      <c r="T493" s="101"/>
      <c r="U493" s="101"/>
      <c r="V493" s="101"/>
      <c r="W493" s="101"/>
      <c r="X493" s="101"/>
      <c r="Y493" s="101"/>
      <c r="Z493" s="101"/>
      <c r="AA493" s="101"/>
      <c r="AB493" s="101"/>
      <c r="AC493" s="101"/>
      <c r="AD493" s="101"/>
      <c r="AE493" s="101"/>
      <c r="AF493" s="101"/>
      <c r="AG493" s="101"/>
      <c r="AH493" s="101"/>
      <c r="AI493" s="101"/>
    </row>
    <row r="494" spans="1:35" x14ac:dyDescent="0.25">
      <c r="A494" s="105"/>
      <c r="B494" s="25"/>
      <c r="C494" s="25"/>
      <c r="D494" s="101"/>
      <c r="E494" s="25"/>
      <c r="F494" s="44"/>
      <c r="G494" s="102"/>
      <c r="H494" s="101"/>
      <c r="I494" s="101"/>
      <c r="J494" s="101"/>
      <c r="K494" s="101"/>
      <c r="L494" s="103"/>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row>
    <row r="495" spans="1:35" x14ac:dyDescent="0.25">
      <c r="A495" s="105"/>
      <c r="B495" s="25"/>
      <c r="C495" s="25"/>
      <c r="D495" s="101"/>
      <c r="E495" s="25"/>
      <c r="F495" s="44"/>
      <c r="G495" s="102"/>
      <c r="H495" s="101"/>
      <c r="I495" s="101"/>
      <c r="J495" s="101"/>
      <c r="K495" s="101"/>
      <c r="L495" s="103"/>
      <c r="M495" s="101"/>
      <c r="N495" s="101"/>
      <c r="O495" s="101"/>
      <c r="P495" s="101"/>
      <c r="Q495" s="101"/>
      <c r="R495" s="101"/>
      <c r="S495" s="101"/>
      <c r="T495" s="101"/>
      <c r="U495" s="101"/>
      <c r="V495" s="101"/>
      <c r="W495" s="101"/>
      <c r="X495" s="101"/>
      <c r="Y495" s="101"/>
      <c r="Z495" s="101"/>
      <c r="AA495" s="101"/>
      <c r="AB495" s="101"/>
      <c r="AC495" s="101"/>
      <c r="AD495" s="101"/>
      <c r="AE495" s="101"/>
      <c r="AF495" s="101"/>
      <c r="AG495" s="101"/>
      <c r="AH495" s="101"/>
      <c r="AI495" s="101"/>
    </row>
    <row r="496" spans="1:35" x14ac:dyDescent="0.25">
      <c r="A496" s="105"/>
      <c r="B496" s="25"/>
      <c r="C496" s="25"/>
      <c r="D496" s="101"/>
      <c r="E496" s="25"/>
      <c r="F496" s="44"/>
      <c r="G496" s="102"/>
      <c r="H496" s="101"/>
      <c r="I496" s="101"/>
      <c r="J496" s="101"/>
      <c r="K496" s="101"/>
      <c r="L496" s="103"/>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row>
    <row r="497" spans="1:35" x14ac:dyDescent="0.25">
      <c r="A497" s="105"/>
      <c r="B497" s="25"/>
      <c r="C497" s="25"/>
      <c r="D497" s="101"/>
      <c r="E497" s="25"/>
      <c r="F497" s="44"/>
      <c r="G497" s="102"/>
      <c r="H497" s="101"/>
      <c r="I497" s="101"/>
      <c r="J497" s="101"/>
      <c r="K497" s="101"/>
      <c r="L497" s="103"/>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row>
    <row r="498" spans="1:35" x14ac:dyDescent="0.25">
      <c r="A498" s="105"/>
      <c r="B498" s="25"/>
      <c r="C498" s="25"/>
      <c r="D498" s="101"/>
      <c r="E498" s="25"/>
      <c r="F498" s="44"/>
      <c r="G498" s="102"/>
      <c r="H498" s="101"/>
      <c r="I498" s="101"/>
      <c r="J498" s="101"/>
      <c r="K498" s="101"/>
      <c r="L498" s="103"/>
      <c r="M498" s="101"/>
      <c r="N498" s="101"/>
      <c r="O498" s="101"/>
      <c r="P498" s="101"/>
      <c r="Q498" s="101"/>
      <c r="R498" s="101"/>
      <c r="S498" s="101"/>
      <c r="T498" s="101"/>
      <c r="U498" s="101"/>
      <c r="V498" s="101"/>
      <c r="W498" s="101"/>
      <c r="X498" s="101"/>
      <c r="Y498" s="101"/>
      <c r="Z498" s="101"/>
      <c r="AA498" s="101"/>
      <c r="AB498" s="101"/>
      <c r="AC498" s="101"/>
      <c r="AD498" s="101"/>
      <c r="AE498" s="101"/>
      <c r="AF498" s="101"/>
      <c r="AG498" s="101"/>
      <c r="AH498" s="101"/>
      <c r="AI498" s="101"/>
    </row>
    <row r="499" spans="1:35" x14ac:dyDescent="0.25">
      <c r="A499" s="105"/>
      <c r="B499" s="25"/>
      <c r="C499" s="25"/>
      <c r="D499" s="101"/>
      <c r="E499" s="25"/>
      <c r="F499" s="44"/>
      <c r="G499" s="102"/>
      <c r="H499" s="101"/>
      <c r="I499" s="101"/>
      <c r="J499" s="101"/>
      <c r="K499" s="101"/>
      <c r="L499" s="103"/>
      <c r="M499" s="101"/>
      <c r="N499" s="101"/>
      <c r="O499" s="101"/>
      <c r="P499" s="101"/>
      <c r="Q499" s="101"/>
      <c r="R499" s="101"/>
      <c r="S499" s="101"/>
      <c r="T499" s="101"/>
      <c r="U499" s="101"/>
      <c r="V499" s="101"/>
      <c r="W499" s="101"/>
      <c r="X499" s="101"/>
      <c r="Y499" s="101"/>
      <c r="Z499" s="101"/>
      <c r="AA499" s="101"/>
      <c r="AB499" s="101"/>
      <c r="AC499" s="101"/>
      <c r="AD499" s="101"/>
      <c r="AE499" s="101"/>
      <c r="AF499" s="101"/>
      <c r="AG499" s="101"/>
      <c r="AH499" s="101"/>
      <c r="AI499" s="101"/>
    </row>
  </sheetData>
  <autoFilter ref="A14:AI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1:F34">
    <cfRule type="cellIs" dxfId="18" priority="19" operator="equal">
      <formula>NEI</formula>
    </cfRule>
  </conditionalFormatting>
  <conditionalFormatting sqref="F21:F34">
    <cfRule type="cellIs" dxfId="17" priority="18" operator="equal">
      <formula>"JA"</formula>
    </cfRule>
  </conditionalFormatting>
  <conditionalFormatting sqref="F21:F34">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4">
    <cfRule type="cellIs" dxfId="8" priority="8" operator="equal">
      <formula>"nei"</formula>
    </cfRule>
    <cfRule type="cellIs" dxfId="7" priority="9" operator="equal">
      <formula>"ja"</formula>
    </cfRule>
  </conditionalFormatting>
  <conditionalFormatting sqref="F35:F499">
    <cfRule type="cellIs" dxfId="6" priority="7" operator="equal">
      <formula>NEI</formula>
    </cfRule>
  </conditionalFormatting>
  <conditionalFormatting sqref="F35:F499">
    <cfRule type="cellIs" dxfId="5" priority="6" operator="equal">
      <formula>"JA"</formula>
    </cfRule>
  </conditionalFormatting>
  <conditionalFormatting sqref="F35:F499">
    <cfRule type="cellIs" dxfId="4" priority="3" operator="equal">
      <formula>"NEI"</formula>
    </cfRule>
    <cfRule type="cellIs" dxfId="3" priority="4" operator="equal">
      <formula>"JA"</formula>
    </cfRule>
    <cfRule type="cellIs" dxfId="2" priority="5" operator="equal">
      <formula>"JA"</formula>
    </cfRule>
  </conditionalFormatting>
  <conditionalFormatting sqref="D35:D499">
    <cfRule type="cellIs" dxfId="1" priority="1" operator="equal">
      <formula>"nei"</formula>
    </cfRule>
    <cfRule type="cellIs" dxfId="0" priority="2" operator="equal">
      <formula>"ja"</formula>
    </cfRule>
  </conditionalFormatting>
  <dataValidations count="2">
    <dataValidation type="custom" allowBlank="1" showInputMessage="1" showErrorMessage="1" errorTitle="&lt;&gt;" sqref="A1:C13 E1:E13 D1:D4 D6:D13">
      <formula1>"&lt;&gt;"""""</formula1>
    </dataValidation>
    <dataValidation type="custom" allowBlank="1" showInputMessage="1" showErrorMessage="1" errorTitle="&lt;&gt;" sqref="D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D28"/>
  <sheetViews>
    <sheetView showGridLines="0" workbookViewId="0">
      <selection activeCell="O8" sqref="O8"/>
    </sheetView>
  </sheetViews>
  <sheetFormatPr baseColWidth="10" defaultColWidth="18.7109375" defaultRowHeight="15" x14ac:dyDescent="0.25"/>
  <cols>
    <col min="1" max="1" width="40.5703125" customWidth="1"/>
    <col min="2" max="2" width="17.42578125" customWidth="1"/>
    <col min="3" max="3" width="5.5703125" bestFit="1" customWidth="1"/>
    <col min="4" max="9" width="5.42578125" bestFit="1" customWidth="1"/>
    <col min="10" max="10" width="5.5703125" bestFit="1" customWidth="1"/>
    <col min="11" max="14" width="7.140625" bestFit="1" customWidth="1"/>
    <col min="15" max="15" width="7.140625" customWidth="1"/>
    <col min="16" max="17" width="7.140625" bestFit="1" customWidth="1"/>
    <col min="18" max="30" width="7.28515625" bestFit="1" customWidth="1"/>
  </cols>
  <sheetData>
    <row r="1" spans="1:30" ht="23.25" x14ac:dyDescent="0.35">
      <c r="A1" s="92" t="s">
        <v>178</v>
      </c>
      <c r="B1" s="93"/>
      <c r="C1" s="94" t="s">
        <v>66</v>
      </c>
      <c r="D1" s="95"/>
      <c r="E1" s="95"/>
      <c r="F1" s="95"/>
      <c r="G1" s="95"/>
      <c r="H1" s="95"/>
      <c r="I1" s="95"/>
      <c r="J1" s="95"/>
      <c r="K1" s="95"/>
      <c r="L1" s="95"/>
      <c r="M1" s="95"/>
      <c r="N1" s="95"/>
      <c r="O1" s="95"/>
      <c r="P1" s="95"/>
      <c r="Q1" s="95"/>
      <c r="R1" s="95"/>
      <c r="S1" s="95"/>
      <c r="T1" s="95"/>
      <c r="U1" s="95"/>
      <c r="V1" s="95"/>
      <c r="W1" s="95"/>
      <c r="X1" s="95"/>
      <c r="Y1" s="95"/>
      <c r="Z1" s="95"/>
      <c r="AA1" s="95"/>
      <c r="AB1" s="95"/>
      <c r="AC1" s="95"/>
      <c r="AD1" s="95"/>
    </row>
    <row r="2" spans="1:30" ht="23.25" x14ac:dyDescent="0.35">
      <c r="A2" s="54" t="s">
        <v>67</v>
      </c>
      <c r="B2" s="54" t="s">
        <v>68</v>
      </c>
      <c r="C2" s="54" t="s">
        <v>23</v>
      </c>
      <c r="D2" s="54" t="s">
        <v>33</v>
      </c>
      <c r="E2" s="54" t="s">
        <v>24</v>
      </c>
      <c r="F2" s="54" t="s">
        <v>35</v>
      </c>
      <c r="G2" s="54" t="s">
        <v>25</v>
      </c>
      <c r="H2" s="54" t="s">
        <v>26</v>
      </c>
      <c r="I2" s="54" t="s">
        <v>27</v>
      </c>
      <c r="J2" s="54" t="s">
        <v>45</v>
      </c>
      <c r="K2" s="54" t="s">
        <v>50</v>
      </c>
      <c r="L2" s="54" t="s">
        <v>51</v>
      </c>
      <c r="M2" s="54" t="s">
        <v>52</v>
      </c>
      <c r="N2" s="54" t="s">
        <v>53</v>
      </c>
      <c r="O2" s="54" t="s">
        <v>54</v>
      </c>
      <c r="P2" s="54" t="s">
        <v>61</v>
      </c>
      <c r="Q2" s="56" t="s">
        <v>62</v>
      </c>
      <c r="R2" s="56" t="s">
        <v>83</v>
      </c>
      <c r="S2" s="56" t="s">
        <v>85</v>
      </c>
      <c r="T2" s="56" t="s">
        <v>86</v>
      </c>
      <c r="U2" s="56" t="s">
        <v>87</v>
      </c>
      <c r="V2" s="56" t="s">
        <v>88</v>
      </c>
      <c r="W2" s="56" t="s">
        <v>89</v>
      </c>
      <c r="X2" s="56" t="s">
        <v>90</v>
      </c>
      <c r="Y2" s="56" t="s">
        <v>91</v>
      </c>
      <c r="Z2" s="56" t="s">
        <v>92</v>
      </c>
      <c r="AA2" s="56" t="s">
        <v>93</v>
      </c>
      <c r="AB2" s="56" t="s">
        <v>94</v>
      </c>
      <c r="AC2" s="56" t="s">
        <v>95</v>
      </c>
      <c r="AD2" s="56" t="s">
        <v>96</v>
      </c>
    </row>
    <row r="3" spans="1:30" ht="30" x14ac:dyDescent="0.25">
      <c r="A3" s="37" t="s">
        <v>156</v>
      </c>
      <c r="B3" s="3" t="s">
        <v>69</v>
      </c>
      <c r="C3" s="3" t="s">
        <v>65</v>
      </c>
      <c r="D3" s="66"/>
      <c r="E3" s="66"/>
      <c r="F3" s="66"/>
      <c r="G3" s="66"/>
      <c r="H3" s="66"/>
      <c r="I3" s="66"/>
      <c r="J3" s="8" t="s">
        <v>65</v>
      </c>
      <c r="K3" s="8" t="s">
        <v>65</v>
      </c>
      <c r="L3" s="66"/>
      <c r="M3" s="66"/>
      <c r="N3" s="66"/>
      <c r="O3" s="66"/>
      <c r="P3" s="66"/>
      <c r="Q3" s="8" t="s">
        <v>65</v>
      </c>
      <c r="R3" s="66"/>
      <c r="S3" s="66"/>
      <c r="T3" s="66"/>
      <c r="U3" s="66"/>
      <c r="V3" s="66"/>
      <c r="W3" s="66"/>
      <c r="X3" s="66"/>
      <c r="Y3" s="66"/>
      <c r="Z3" s="66"/>
      <c r="AA3" s="66"/>
      <c r="AB3" s="66"/>
      <c r="AC3" s="66"/>
      <c r="AD3" s="66"/>
    </row>
    <row r="4" spans="1:30" ht="30" x14ac:dyDescent="0.25">
      <c r="A4" s="37" t="s">
        <v>156</v>
      </c>
      <c r="B4" s="3" t="s">
        <v>69</v>
      </c>
      <c r="C4" s="3" t="s">
        <v>65</v>
      </c>
      <c r="D4" s="66"/>
      <c r="E4" s="66"/>
      <c r="F4" s="66"/>
      <c r="G4" s="66"/>
      <c r="H4" s="66"/>
      <c r="I4" s="66"/>
      <c r="J4" s="8" t="s">
        <v>65</v>
      </c>
      <c r="K4" s="8" t="s">
        <v>65</v>
      </c>
      <c r="L4" s="66"/>
      <c r="M4" s="66"/>
      <c r="N4" s="66"/>
      <c r="O4" s="66"/>
      <c r="P4" s="66"/>
      <c r="Q4" s="8" t="s">
        <v>70</v>
      </c>
      <c r="R4" s="8" t="s">
        <v>65</v>
      </c>
      <c r="S4" s="66"/>
      <c r="T4" s="66"/>
      <c r="U4" s="66"/>
      <c r="V4" s="66"/>
      <c r="W4" s="66"/>
      <c r="X4" s="66"/>
      <c r="Y4" s="66"/>
      <c r="Z4" s="66"/>
      <c r="AA4" s="66"/>
      <c r="AB4" s="66"/>
      <c r="AC4" s="66"/>
      <c r="AD4" s="66"/>
    </row>
    <row r="5" spans="1:30" ht="45" x14ac:dyDescent="0.25">
      <c r="A5" s="37" t="s">
        <v>145</v>
      </c>
      <c r="B5" s="3" t="s">
        <v>69</v>
      </c>
      <c r="C5" s="3" t="s">
        <v>65</v>
      </c>
      <c r="D5" s="66"/>
      <c r="E5" s="66"/>
      <c r="F5" s="66"/>
      <c r="G5" s="66"/>
      <c r="H5" s="66"/>
      <c r="I5" s="66"/>
      <c r="J5" s="8" t="s">
        <v>65</v>
      </c>
      <c r="K5" s="8" t="s">
        <v>65</v>
      </c>
      <c r="L5" s="66"/>
      <c r="M5" s="66"/>
      <c r="N5" s="66"/>
      <c r="O5" s="66"/>
      <c r="P5" s="66"/>
      <c r="Q5" s="8" t="s">
        <v>70</v>
      </c>
      <c r="R5" s="8" t="s">
        <v>70</v>
      </c>
      <c r="S5" s="8" t="s">
        <v>65</v>
      </c>
      <c r="T5" s="66"/>
      <c r="U5" s="8" t="s">
        <v>65</v>
      </c>
      <c r="V5" s="8" t="s">
        <v>65</v>
      </c>
      <c r="W5" s="66"/>
      <c r="X5" s="66"/>
      <c r="Y5" s="66"/>
      <c r="Z5" s="66"/>
      <c r="AA5" s="66"/>
      <c r="AB5" s="66"/>
      <c r="AC5" s="66"/>
      <c r="AD5" s="66"/>
    </row>
    <row r="6" spans="1:30" ht="45" x14ac:dyDescent="0.25">
      <c r="A6" s="37" t="s">
        <v>144</v>
      </c>
      <c r="B6" s="3" t="s">
        <v>69</v>
      </c>
      <c r="C6" s="3" t="s">
        <v>65</v>
      </c>
      <c r="D6" s="66"/>
      <c r="E6" s="66"/>
      <c r="F6" s="66"/>
      <c r="G6" s="66"/>
      <c r="H6" s="66"/>
      <c r="I6" s="66"/>
      <c r="J6" s="8" t="s">
        <v>65</v>
      </c>
      <c r="K6" s="8" t="s">
        <v>65</v>
      </c>
      <c r="L6" s="66"/>
      <c r="M6" s="66"/>
      <c r="N6" s="66"/>
      <c r="O6" s="66"/>
      <c r="P6" s="66"/>
      <c r="Q6" s="8" t="s">
        <v>70</v>
      </c>
      <c r="R6" s="8" t="s">
        <v>70</v>
      </c>
      <c r="S6" s="8" t="s">
        <v>70</v>
      </c>
      <c r="T6" s="8" t="s">
        <v>65</v>
      </c>
      <c r="U6" s="66"/>
      <c r="V6" s="66"/>
      <c r="W6" s="66"/>
      <c r="X6" s="66"/>
      <c r="Y6" s="66"/>
      <c r="Z6" s="66"/>
      <c r="AA6" s="66"/>
      <c r="AB6" s="66"/>
      <c r="AC6" s="66"/>
      <c r="AD6" s="66"/>
    </row>
    <row r="7" spans="1:30" ht="30" x14ac:dyDescent="0.25">
      <c r="A7" s="67" t="s">
        <v>156</v>
      </c>
      <c r="B7" s="3" t="s">
        <v>69</v>
      </c>
      <c r="C7" s="3" t="s">
        <v>65</v>
      </c>
      <c r="D7" s="66"/>
      <c r="E7" s="66"/>
      <c r="F7" s="66"/>
      <c r="G7" s="66"/>
      <c r="H7" s="66"/>
      <c r="I7" s="66"/>
      <c r="J7" s="8" t="s">
        <v>65</v>
      </c>
      <c r="K7" s="8" t="s">
        <v>70</v>
      </c>
      <c r="L7" s="8" t="s">
        <v>65</v>
      </c>
      <c r="M7" s="8" t="s">
        <v>65</v>
      </c>
      <c r="N7" s="8" t="s">
        <v>65</v>
      </c>
      <c r="O7" s="66"/>
      <c r="P7" s="66"/>
      <c r="Q7" s="8" t="s">
        <v>65</v>
      </c>
      <c r="R7" s="66"/>
      <c r="S7" s="66"/>
      <c r="T7" s="66"/>
      <c r="U7" s="66"/>
      <c r="V7" s="66"/>
      <c r="W7" s="66"/>
      <c r="X7" s="66"/>
      <c r="Y7" s="66"/>
      <c r="Z7" s="66"/>
      <c r="AA7" s="66"/>
      <c r="AB7" s="66"/>
      <c r="AC7" s="66"/>
      <c r="AD7" s="66"/>
    </row>
    <row r="8" spans="1:30" ht="30" x14ac:dyDescent="0.25">
      <c r="A8" s="68" t="s">
        <v>156</v>
      </c>
      <c r="B8" s="3" t="s">
        <v>69</v>
      </c>
      <c r="C8" s="3" t="s">
        <v>65</v>
      </c>
      <c r="D8" s="66"/>
      <c r="E8" s="66"/>
      <c r="F8" s="66"/>
      <c r="G8" s="66"/>
      <c r="H8" s="66"/>
      <c r="I8" s="66"/>
      <c r="J8" s="8" t="s">
        <v>65</v>
      </c>
      <c r="K8" s="8" t="s">
        <v>70</v>
      </c>
      <c r="L8" s="8" t="s">
        <v>65</v>
      </c>
      <c r="M8" s="8" t="s">
        <v>65</v>
      </c>
      <c r="N8" s="8" t="s">
        <v>65</v>
      </c>
      <c r="O8" s="66"/>
      <c r="P8" s="66"/>
      <c r="Q8" s="8" t="s">
        <v>70</v>
      </c>
      <c r="R8" s="8" t="s">
        <v>65</v>
      </c>
      <c r="S8" s="66"/>
      <c r="T8" s="66"/>
      <c r="U8" s="66"/>
      <c r="V8" s="66"/>
      <c r="W8" s="66"/>
      <c r="X8" s="66"/>
      <c r="Y8" s="66"/>
      <c r="Z8" s="66"/>
      <c r="AA8" s="66"/>
      <c r="AB8" s="66"/>
      <c r="AC8" s="66"/>
      <c r="AD8" s="66"/>
    </row>
    <row r="9" spans="1:30" ht="30" x14ac:dyDescent="0.25">
      <c r="A9" s="67" t="s">
        <v>154</v>
      </c>
      <c r="B9" s="3" t="s">
        <v>69</v>
      </c>
      <c r="C9" s="8"/>
      <c r="D9" s="8"/>
      <c r="E9" s="8"/>
      <c r="F9" s="8"/>
      <c r="G9" s="8"/>
      <c r="H9" s="8"/>
      <c r="I9" s="8"/>
      <c r="J9" s="8"/>
      <c r="K9" s="8"/>
      <c r="L9" s="8"/>
      <c r="M9" s="8" t="s">
        <v>70</v>
      </c>
      <c r="N9" s="66"/>
      <c r="O9" s="66"/>
      <c r="P9" s="66"/>
      <c r="Q9" s="66"/>
      <c r="R9" s="66"/>
      <c r="S9" s="66"/>
      <c r="T9" s="66"/>
      <c r="U9" s="66"/>
      <c r="V9" s="66"/>
      <c r="W9" s="66"/>
      <c r="X9" s="66"/>
      <c r="Y9" s="66"/>
      <c r="Z9" s="66"/>
      <c r="AA9" s="66"/>
      <c r="AB9" s="66"/>
      <c r="AC9" s="66"/>
      <c r="AD9" s="66"/>
    </row>
    <row r="10" spans="1:30" ht="45" x14ac:dyDescent="0.25">
      <c r="A10" s="37" t="s">
        <v>145</v>
      </c>
      <c r="B10" s="3" t="s">
        <v>69</v>
      </c>
      <c r="C10" s="3" t="s">
        <v>65</v>
      </c>
      <c r="D10" s="66"/>
      <c r="E10" s="66"/>
      <c r="F10" s="66"/>
      <c r="G10" s="66"/>
      <c r="H10" s="66"/>
      <c r="I10" s="66"/>
      <c r="J10" s="8" t="s">
        <v>65</v>
      </c>
      <c r="K10" s="8" t="s">
        <v>70</v>
      </c>
      <c r="L10" s="8" t="s">
        <v>65</v>
      </c>
      <c r="M10" s="8" t="s">
        <v>65</v>
      </c>
      <c r="N10" s="8" t="s">
        <v>65</v>
      </c>
      <c r="O10" s="66"/>
      <c r="P10" s="66"/>
      <c r="Q10" s="8" t="s">
        <v>70</v>
      </c>
      <c r="R10" s="8" t="s">
        <v>70</v>
      </c>
      <c r="S10" s="8" t="s">
        <v>65</v>
      </c>
      <c r="T10" s="66"/>
      <c r="U10" s="8" t="s">
        <v>65</v>
      </c>
      <c r="V10" s="8" t="s">
        <v>65</v>
      </c>
      <c r="W10" s="66"/>
      <c r="X10" s="66"/>
      <c r="Y10" s="66"/>
      <c r="Z10" s="66"/>
      <c r="AA10" s="66"/>
      <c r="AB10" s="66"/>
      <c r="AC10" s="66"/>
      <c r="AD10" s="66"/>
    </row>
    <row r="11" spans="1:30" ht="45" x14ac:dyDescent="0.25">
      <c r="A11" s="37" t="s">
        <v>144</v>
      </c>
      <c r="B11" s="3" t="s">
        <v>69</v>
      </c>
      <c r="C11" s="3" t="s">
        <v>65</v>
      </c>
      <c r="D11" s="66"/>
      <c r="E11" s="66"/>
      <c r="F11" s="66"/>
      <c r="G11" s="66"/>
      <c r="H11" s="66"/>
      <c r="I11" s="66"/>
      <c r="J11" s="8" t="s">
        <v>65</v>
      </c>
      <c r="K11" s="8" t="s">
        <v>70</v>
      </c>
      <c r="L11" s="8" t="s">
        <v>65</v>
      </c>
      <c r="M11" s="8" t="s">
        <v>65</v>
      </c>
      <c r="N11" s="8" t="s">
        <v>65</v>
      </c>
      <c r="O11" s="66"/>
      <c r="P11" s="66"/>
      <c r="Q11" s="8" t="s">
        <v>70</v>
      </c>
      <c r="R11" s="8" t="s">
        <v>70</v>
      </c>
      <c r="S11" s="8" t="s">
        <v>70</v>
      </c>
      <c r="T11" s="8" t="s">
        <v>65</v>
      </c>
      <c r="U11" s="66"/>
      <c r="V11" s="66"/>
      <c r="W11" s="66"/>
      <c r="X11" s="66"/>
      <c r="Y11" s="66"/>
      <c r="Z11" s="66"/>
      <c r="AA11" s="66"/>
      <c r="AB11" s="66"/>
      <c r="AC11" s="66"/>
      <c r="AD11" s="66"/>
    </row>
    <row r="12" spans="1:30" ht="45" x14ac:dyDescent="0.25">
      <c r="A12" s="65" t="s">
        <v>145</v>
      </c>
      <c r="B12" s="3" t="s">
        <v>69</v>
      </c>
      <c r="C12" s="8"/>
      <c r="D12" s="8"/>
      <c r="E12" s="8"/>
      <c r="F12" s="8"/>
      <c r="G12" s="8"/>
      <c r="H12" s="8"/>
      <c r="I12" s="8"/>
      <c r="J12" s="8"/>
      <c r="K12" s="8"/>
      <c r="L12" s="8"/>
      <c r="M12" s="8"/>
      <c r="N12" s="8"/>
      <c r="O12" s="8"/>
      <c r="P12" s="8"/>
      <c r="Q12" s="8"/>
      <c r="R12" s="8"/>
      <c r="S12" s="8" t="s">
        <v>65</v>
      </c>
      <c r="T12" s="66"/>
      <c r="U12" s="8" t="s">
        <v>65</v>
      </c>
      <c r="V12" s="66"/>
      <c r="W12" s="66"/>
      <c r="X12" s="66"/>
      <c r="Y12" s="66"/>
      <c r="Z12" s="66"/>
      <c r="AA12" s="66"/>
      <c r="AB12" s="66"/>
      <c r="AC12" s="66"/>
      <c r="AD12" s="66"/>
    </row>
    <row r="13" spans="1:30" ht="45" x14ac:dyDescent="0.25">
      <c r="A13" s="55" t="s">
        <v>144</v>
      </c>
      <c r="B13" s="3" t="s">
        <v>69</v>
      </c>
      <c r="C13" s="3"/>
      <c r="D13" s="8"/>
      <c r="E13" s="8"/>
      <c r="F13" s="8"/>
      <c r="G13" s="8"/>
      <c r="H13" s="8"/>
      <c r="I13" s="8"/>
      <c r="J13" s="8"/>
      <c r="K13" s="8"/>
      <c r="L13" s="8"/>
      <c r="M13" s="8"/>
      <c r="N13" s="8"/>
      <c r="O13" s="8"/>
      <c r="P13" s="8"/>
      <c r="Q13" s="8"/>
      <c r="R13" s="8"/>
      <c r="S13" s="8" t="s">
        <v>70</v>
      </c>
      <c r="T13" s="8" t="s">
        <v>65</v>
      </c>
      <c r="U13" s="66"/>
      <c r="V13" s="66"/>
      <c r="W13" s="66"/>
      <c r="X13" s="66"/>
      <c r="Y13" s="66"/>
      <c r="Z13" s="66"/>
      <c r="AA13" s="66"/>
      <c r="AB13" s="66"/>
      <c r="AC13" s="66"/>
      <c r="AD13" s="66"/>
    </row>
    <row r="14" spans="1:30" ht="30" x14ac:dyDescent="0.25">
      <c r="A14" s="37" t="s">
        <v>156</v>
      </c>
      <c r="B14" s="3" t="s">
        <v>69</v>
      </c>
      <c r="C14" s="3"/>
      <c r="D14" s="8"/>
      <c r="E14" s="8"/>
      <c r="F14" s="8"/>
      <c r="G14" s="8"/>
      <c r="H14" s="8"/>
      <c r="I14" s="8"/>
      <c r="J14" s="8"/>
      <c r="K14" s="8"/>
      <c r="L14" s="8"/>
      <c r="M14" s="8"/>
      <c r="N14" s="8"/>
      <c r="O14" s="8"/>
      <c r="P14" s="8"/>
      <c r="Q14" s="8" t="s">
        <v>65</v>
      </c>
      <c r="R14" s="66"/>
      <c r="S14" s="66"/>
      <c r="T14" s="66"/>
      <c r="U14" s="66"/>
      <c r="V14" s="66"/>
      <c r="W14" s="66"/>
      <c r="X14" s="66"/>
      <c r="Y14" s="66"/>
      <c r="Z14" s="66"/>
      <c r="AA14" s="66"/>
      <c r="AB14" s="66"/>
      <c r="AC14" s="66"/>
      <c r="AD14" s="66"/>
    </row>
    <row r="15" spans="1:30" ht="60" x14ac:dyDescent="0.25">
      <c r="A15" s="37" t="s">
        <v>160</v>
      </c>
      <c r="B15" s="3" t="s">
        <v>69</v>
      </c>
      <c r="C15" s="3" t="s">
        <v>70</v>
      </c>
      <c r="D15" s="8" t="s">
        <v>70</v>
      </c>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row>
    <row r="16" spans="1:30" ht="45" x14ac:dyDescent="0.25">
      <c r="A16" s="37" t="s">
        <v>159</v>
      </c>
      <c r="B16" s="3" t="s">
        <v>69</v>
      </c>
      <c r="C16" s="3" t="s">
        <v>70</v>
      </c>
      <c r="D16" s="8" t="s">
        <v>65</v>
      </c>
      <c r="E16" s="8" t="s">
        <v>65</v>
      </c>
      <c r="F16" s="8" t="s">
        <v>65</v>
      </c>
      <c r="G16" s="66"/>
      <c r="H16" s="66"/>
      <c r="I16" s="66"/>
      <c r="J16" s="66"/>
      <c r="K16" s="66"/>
      <c r="L16" s="66"/>
      <c r="M16" s="66"/>
      <c r="N16" s="66"/>
      <c r="O16" s="66"/>
      <c r="P16" s="66"/>
      <c r="Q16" s="66"/>
      <c r="R16" s="66"/>
      <c r="S16" s="66"/>
      <c r="T16" s="66"/>
      <c r="U16" s="66"/>
      <c r="V16" s="66"/>
      <c r="W16" s="66"/>
      <c r="X16" s="66"/>
      <c r="Y16" s="66"/>
      <c r="Z16" s="66"/>
      <c r="AA16" s="66"/>
      <c r="AB16" s="66"/>
      <c r="AC16" s="66"/>
      <c r="AD16" s="66"/>
    </row>
    <row r="17" spans="1:30" ht="45" x14ac:dyDescent="0.25">
      <c r="A17" s="37" t="s">
        <v>158</v>
      </c>
      <c r="B17" s="3" t="s">
        <v>69</v>
      </c>
      <c r="C17" s="3" t="s">
        <v>70</v>
      </c>
      <c r="D17" s="8" t="s">
        <v>65</v>
      </c>
      <c r="E17" s="8" t="s">
        <v>65</v>
      </c>
      <c r="F17" s="8" t="s">
        <v>70</v>
      </c>
      <c r="G17" s="8" t="s">
        <v>65</v>
      </c>
      <c r="H17" s="66"/>
      <c r="I17" s="66"/>
      <c r="J17" s="66"/>
      <c r="K17" s="66"/>
      <c r="L17" s="66"/>
      <c r="M17" s="66"/>
      <c r="N17" s="66"/>
      <c r="O17" s="66"/>
      <c r="P17" s="66"/>
      <c r="Q17" s="66"/>
      <c r="R17" s="66"/>
      <c r="S17" s="66"/>
      <c r="T17" s="66"/>
      <c r="U17" s="66"/>
      <c r="V17" s="66"/>
      <c r="W17" s="66"/>
      <c r="X17" s="66"/>
      <c r="Y17" s="66"/>
      <c r="Z17" s="66"/>
      <c r="AA17" s="66"/>
      <c r="AB17" s="66"/>
      <c r="AC17" s="66"/>
      <c r="AD17" s="66"/>
    </row>
    <row r="18" spans="1:30" ht="45" x14ac:dyDescent="0.25">
      <c r="A18" s="65" t="s">
        <v>157</v>
      </c>
      <c r="B18" s="8" t="s">
        <v>69</v>
      </c>
      <c r="C18" s="8" t="s">
        <v>70</v>
      </c>
      <c r="D18" s="8" t="s">
        <v>65</v>
      </c>
      <c r="E18" s="8" t="s">
        <v>65</v>
      </c>
      <c r="F18" s="8" t="s">
        <v>70</v>
      </c>
      <c r="G18" s="8" t="s">
        <v>70</v>
      </c>
      <c r="H18" s="8" t="s">
        <v>70</v>
      </c>
      <c r="I18" s="8" t="s">
        <v>65</v>
      </c>
      <c r="J18" s="66"/>
      <c r="K18" s="66"/>
      <c r="L18" s="66"/>
      <c r="M18" s="66"/>
      <c r="N18" s="66"/>
      <c r="O18" s="66"/>
      <c r="P18" s="66"/>
      <c r="Q18" s="66"/>
      <c r="R18" s="66"/>
      <c r="S18" s="66"/>
      <c r="T18" s="66"/>
      <c r="U18" s="66"/>
      <c r="V18" s="66"/>
      <c r="W18" s="66"/>
      <c r="X18" s="66"/>
      <c r="Y18" s="66"/>
      <c r="Z18" s="66"/>
      <c r="AA18" s="66"/>
      <c r="AB18" s="66"/>
      <c r="AC18" s="66"/>
      <c r="AD18" s="66"/>
    </row>
    <row r="19" spans="1:30" ht="45" x14ac:dyDescent="0.25">
      <c r="A19" s="55" t="s">
        <v>153</v>
      </c>
      <c r="B19" s="3" t="s">
        <v>69</v>
      </c>
      <c r="C19" s="3"/>
      <c r="D19" s="8"/>
      <c r="E19" s="8"/>
      <c r="F19" s="8"/>
      <c r="G19" s="8"/>
      <c r="H19" s="8"/>
      <c r="I19" s="8"/>
      <c r="J19" s="8"/>
      <c r="K19" s="8"/>
      <c r="L19" s="8"/>
      <c r="M19" s="8"/>
      <c r="N19" s="8"/>
      <c r="O19" s="8"/>
      <c r="P19" s="8"/>
      <c r="Q19" s="8"/>
      <c r="R19" s="8"/>
      <c r="S19" s="8"/>
      <c r="T19" s="8"/>
      <c r="U19" s="8"/>
      <c r="V19" s="8"/>
      <c r="W19" s="8" t="s">
        <v>65</v>
      </c>
      <c r="X19" s="66"/>
      <c r="Y19" s="66"/>
      <c r="Z19" s="66"/>
      <c r="AA19" s="66"/>
      <c r="AB19" s="66"/>
      <c r="AC19" s="66"/>
      <c r="AD19" s="66"/>
    </row>
    <row r="20" spans="1:30" ht="30" x14ac:dyDescent="0.25">
      <c r="A20" s="37" t="s">
        <v>147</v>
      </c>
      <c r="B20" s="3" t="s">
        <v>69</v>
      </c>
      <c r="C20" s="3"/>
      <c r="D20" s="8"/>
      <c r="E20" s="8"/>
      <c r="F20" s="8"/>
      <c r="G20" s="8"/>
      <c r="H20" s="8"/>
      <c r="I20" s="8"/>
      <c r="J20" s="8"/>
      <c r="K20" s="8"/>
      <c r="L20" s="8"/>
      <c r="M20" s="8"/>
      <c r="N20" s="8"/>
      <c r="O20" s="8"/>
      <c r="P20" s="8"/>
      <c r="Q20" s="8"/>
      <c r="R20" s="8"/>
      <c r="S20" s="8"/>
      <c r="T20" s="8"/>
      <c r="U20" s="8"/>
      <c r="V20" s="8"/>
      <c r="W20" s="8"/>
      <c r="X20" s="8"/>
      <c r="Y20" s="8"/>
      <c r="Z20" s="8" t="s">
        <v>65</v>
      </c>
      <c r="AA20" s="66"/>
      <c r="AB20" s="66"/>
      <c r="AC20" s="66"/>
      <c r="AD20" s="66"/>
    </row>
    <row r="21" spans="1:30" ht="45" x14ac:dyDescent="0.25">
      <c r="A21" s="37" t="s">
        <v>150</v>
      </c>
      <c r="B21" s="3" t="s">
        <v>69</v>
      </c>
      <c r="C21" s="3"/>
      <c r="D21" s="8"/>
      <c r="E21" s="8"/>
      <c r="F21" s="8"/>
      <c r="G21" s="8"/>
      <c r="H21" s="8"/>
      <c r="I21" s="8"/>
      <c r="J21" s="8"/>
      <c r="K21" s="8"/>
      <c r="L21" s="8"/>
      <c r="M21" s="8"/>
      <c r="N21" s="8"/>
      <c r="O21" s="8"/>
      <c r="P21" s="8"/>
      <c r="Q21" s="8"/>
      <c r="R21" s="8"/>
      <c r="S21" s="8"/>
      <c r="T21" s="8"/>
      <c r="U21" s="8"/>
      <c r="V21" s="8"/>
      <c r="W21" s="8"/>
      <c r="X21" s="8"/>
      <c r="Y21" s="8"/>
      <c r="Z21" s="8"/>
      <c r="AA21" s="8"/>
      <c r="AB21" s="8"/>
      <c r="AC21" s="8" t="s">
        <v>65</v>
      </c>
      <c r="AD21" s="66"/>
    </row>
    <row r="22" spans="1:30" ht="45" x14ac:dyDescent="0.25">
      <c r="A22" s="37" t="s">
        <v>152</v>
      </c>
      <c r="B22" s="3" t="s">
        <v>69</v>
      </c>
      <c r="C22" s="3"/>
      <c r="D22" s="8"/>
      <c r="E22" s="8"/>
      <c r="F22" s="8"/>
      <c r="G22" s="8"/>
      <c r="H22" s="8"/>
      <c r="I22" s="8"/>
      <c r="J22" s="8"/>
      <c r="K22" s="8"/>
      <c r="L22" s="8"/>
      <c r="M22" s="8"/>
      <c r="N22" s="8"/>
      <c r="O22" s="8"/>
      <c r="P22" s="8"/>
      <c r="Q22" s="8"/>
      <c r="R22" s="8"/>
      <c r="S22" s="8"/>
      <c r="T22" s="8"/>
      <c r="U22" s="8"/>
      <c r="V22" s="8"/>
      <c r="W22" s="8"/>
      <c r="X22" s="8"/>
      <c r="Y22" s="8"/>
      <c r="Z22" s="8"/>
      <c r="AA22" s="8"/>
      <c r="AB22" s="8"/>
      <c r="AC22" s="8"/>
      <c r="AD22" s="8" t="s">
        <v>65</v>
      </c>
    </row>
    <row r="23" spans="1:30" ht="30" x14ac:dyDescent="0.25">
      <c r="A23" s="65" t="s">
        <v>140</v>
      </c>
      <c r="B23" s="8" t="s">
        <v>179</v>
      </c>
      <c r="C23" s="8" t="s">
        <v>70</v>
      </c>
      <c r="D23" s="8" t="s">
        <v>65</v>
      </c>
      <c r="E23" s="8" t="s">
        <v>70</v>
      </c>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row>
    <row r="24" spans="1:30" ht="30" x14ac:dyDescent="0.25">
      <c r="A24" s="55" t="s">
        <v>140</v>
      </c>
      <c r="B24" s="3" t="s">
        <v>179</v>
      </c>
      <c r="C24" s="3" t="s">
        <v>70</v>
      </c>
      <c r="D24" s="8" t="s">
        <v>65</v>
      </c>
      <c r="E24" s="8" t="s">
        <v>65</v>
      </c>
      <c r="F24" s="8" t="s">
        <v>70</v>
      </c>
      <c r="G24" s="8" t="s">
        <v>70</v>
      </c>
      <c r="H24" s="8" t="s">
        <v>65</v>
      </c>
      <c r="I24" s="66"/>
      <c r="J24" s="66"/>
      <c r="K24" s="66"/>
      <c r="L24" s="66"/>
      <c r="M24" s="66"/>
      <c r="N24" s="66"/>
      <c r="O24" s="66"/>
      <c r="P24" s="66"/>
      <c r="Q24" s="66"/>
      <c r="R24" s="66"/>
      <c r="S24" s="66"/>
      <c r="T24" s="66"/>
      <c r="U24" s="66"/>
      <c r="V24" s="66"/>
      <c r="W24" s="66"/>
      <c r="X24" s="66"/>
      <c r="Y24" s="66"/>
      <c r="Z24" s="66"/>
      <c r="AA24" s="66"/>
      <c r="AB24" s="66"/>
      <c r="AC24" s="66"/>
      <c r="AD24" s="66"/>
    </row>
    <row r="25" spans="1:30" ht="30" x14ac:dyDescent="0.25">
      <c r="A25" s="55" t="s">
        <v>140</v>
      </c>
      <c r="B25" s="3" t="s">
        <v>179</v>
      </c>
      <c r="C25" s="3" t="s">
        <v>70</v>
      </c>
      <c r="D25" s="8" t="s">
        <v>65</v>
      </c>
      <c r="E25" s="8" t="s">
        <v>65</v>
      </c>
      <c r="F25" s="8" t="s">
        <v>70</v>
      </c>
      <c r="G25" s="8" t="s">
        <v>70</v>
      </c>
      <c r="H25" s="8" t="s">
        <v>70</v>
      </c>
      <c r="I25" s="8" t="s">
        <v>70</v>
      </c>
      <c r="J25" s="66"/>
      <c r="K25" s="66"/>
      <c r="L25" s="66"/>
      <c r="M25" s="66"/>
      <c r="N25" s="66"/>
      <c r="O25" s="66"/>
      <c r="P25" s="66"/>
      <c r="Q25" s="66"/>
      <c r="R25" s="66"/>
      <c r="S25" s="66"/>
      <c r="T25" s="66"/>
      <c r="U25" s="66"/>
      <c r="V25" s="66"/>
      <c r="W25" s="66"/>
      <c r="X25" s="66"/>
      <c r="Y25" s="66"/>
      <c r="Z25" s="66"/>
      <c r="AA25" s="66"/>
      <c r="AB25" s="66"/>
      <c r="AC25" s="66"/>
      <c r="AD25" s="66"/>
    </row>
    <row r="26" spans="1:30" ht="45" x14ac:dyDescent="0.25">
      <c r="A26" s="37" t="s">
        <v>143</v>
      </c>
      <c r="B26" s="3" t="s">
        <v>179</v>
      </c>
      <c r="C26" s="3"/>
      <c r="D26" s="8"/>
      <c r="E26" s="8"/>
      <c r="F26" s="8"/>
      <c r="G26" s="8"/>
      <c r="H26" s="8"/>
      <c r="I26" s="8"/>
      <c r="J26" s="8"/>
      <c r="K26" s="8"/>
      <c r="L26" s="8"/>
      <c r="M26" s="8"/>
      <c r="N26" s="8"/>
      <c r="O26" s="8"/>
      <c r="P26" s="8"/>
      <c r="Q26" s="8"/>
      <c r="R26" s="8"/>
      <c r="S26" s="8" t="s">
        <v>70</v>
      </c>
      <c r="T26" s="8" t="s">
        <v>70</v>
      </c>
      <c r="U26" s="66"/>
      <c r="V26" s="66"/>
      <c r="W26" s="66"/>
      <c r="X26" s="66"/>
      <c r="Y26" s="66"/>
      <c r="Z26" s="66"/>
      <c r="AA26" s="66"/>
      <c r="AB26" s="66"/>
      <c r="AC26" s="66"/>
      <c r="AD26" s="66"/>
    </row>
    <row r="27" spans="1:30" ht="45" x14ac:dyDescent="0.25">
      <c r="A27" s="37" t="s">
        <v>146</v>
      </c>
      <c r="B27" s="3" t="s">
        <v>180</v>
      </c>
      <c r="C27" s="3"/>
      <c r="D27" s="8"/>
      <c r="E27" s="8"/>
      <c r="F27" s="8"/>
      <c r="G27" s="8"/>
      <c r="H27" s="8"/>
      <c r="I27" s="8"/>
      <c r="J27" s="8"/>
      <c r="K27" s="8"/>
      <c r="L27" s="8"/>
      <c r="M27" s="8"/>
      <c r="N27" s="8"/>
      <c r="O27" s="8"/>
      <c r="P27" s="8"/>
      <c r="Q27" s="8"/>
      <c r="R27" s="8"/>
      <c r="S27" s="8" t="s">
        <v>65</v>
      </c>
      <c r="T27" s="66"/>
      <c r="U27" s="8" t="s">
        <v>70</v>
      </c>
      <c r="V27" s="8" t="s">
        <v>70</v>
      </c>
      <c r="W27" s="66"/>
      <c r="X27" s="66"/>
      <c r="Y27" s="66"/>
      <c r="Z27" s="66"/>
      <c r="AA27" s="66"/>
      <c r="AB27" s="66"/>
      <c r="AC27" s="66"/>
      <c r="AD27" s="66"/>
    </row>
    <row r="28" spans="1:30" ht="45" x14ac:dyDescent="0.25">
      <c r="A28" s="65" t="s">
        <v>151</v>
      </c>
      <c r="B28" s="8" t="s">
        <v>179</v>
      </c>
      <c r="C28" s="8"/>
      <c r="D28" s="8"/>
      <c r="E28" s="8"/>
      <c r="F28" s="8"/>
      <c r="G28" s="8"/>
      <c r="H28" s="8"/>
      <c r="I28" s="8"/>
      <c r="J28" s="8"/>
      <c r="K28" s="8"/>
      <c r="L28" s="8"/>
      <c r="M28" s="8"/>
      <c r="N28" s="8"/>
      <c r="O28" s="8"/>
      <c r="P28" s="8"/>
      <c r="Q28" s="8"/>
      <c r="R28" s="8"/>
      <c r="S28" s="8"/>
      <c r="T28" s="8"/>
      <c r="U28" s="8"/>
      <c r="V28" s="8"/>
      <c r="W28" s="8" t="s">
        <v>70</v>
      </c>
      <c r="X28" s="8"/>
      <c r="Y28" s="8"/>
      <c r="Z28" s="8"/>
      <c r="AA28" s="8"/>
      <c r="AB28" s="8"/>
      <c r="AC28" s="8" t="s">
        <v>70</v>
      </c>
      <c r="AD28" s="8" t="s">
        <v>70</v>
      </c>
    </row>
  </sheetData>
  <mergeCells count="2">
    <mergeCell ref="A1:B1"/>
    <mergeCell ref="C1:AD1"/>
  </mergeCells>
  <dataValidations count="1">
    <dataValidation type="custom" allowBlank="1" showInputMessage="1" showErrorMessage="1"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election activeCell="A11" sqref="A11"/>
    </sheetView>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47</v>
      </c>
      <c r="B1" s="5"/>
    </row>
    <row r="2" spans="1:8" ht="21" x14ac:dyDescent="0.35">
      <c r="A2" s="31" t="s">
        <v>9</v>
      </c>
      <c r="B2" s="31" t="s">
        <v>5</v>
      </c>
      <c r="C2" s="4"/>
      <c r="D2" s="36" t="s">
        <v>55</v>
      </c>
      <c r="E2" s="32" t="s">
        <v>34</v>
      </c>
      <c r="F2" s="32"/>
    </row>
    <row r="3" spans="1:8" ht="15.75" x14ac:dyDescent="0.25">
      <c r="A3" s="30" t="s">
        <v>48</v>
      </c>
      <c r="B3" s="15" t="str">
        <f>Data!B5</f>
        <v>Testsidene har ikkje bilete som ikkje er lenka</v>
      </c>
      <c r="C3" s="4"/>
      <c r="D3" s="49" t="s">
        <v>56</v>
      </c>
      <c r="E3" s="32" t="s">
        <v>17</v>
      </c>
      <c r="F3" s="32"/>
    </row>
    <row r="4" spans="1:8" x14ac:dyDescent="0.25">
      <c r="C4" s="4"/>
      <c r="D4" s="49" t="s">
        <v>57</v>
      </c>
      <c r="E4" s="32" t="s">
        <v>21</v>
      </c>
      <c r="F4" s="32"/>
    </row>
    <row r="5" spans="1:8" x14ac:dyDescent="0.25">
      <c r="C5" s="4"/>
      <c r="D5" s="3" t="s">
        <v>58</v>
      </c>
    </row>
    <row r="6" spans="1:8" x14ac:dyDescent="0.25">
      <c r="C6" s="4"/>
      <c r="D6" s="37" t="s">
        <v>59</v>
      </c>
      <c r="E6" s="33"/>
      <c r="F6" s="33"/>
      <c r="G6" s="33"/>
      <c r="H6" s="33"/>
    </row>
    <row r="7" spans="1:8" x14ac:dyDescent="0.25">
      <c r="C7" s="4"/>
      <c r="D7" s="37" t="s">
        <v>60</v>
      </c>
      <c r="E7" s="33"/>
      <c r="F7" s="33"/>
      <c r="G7" s="33"/>
      <c r="H7" s="33"/>
    </row>
    <row r="8" spans="1:8" x14ac:dyDescent="0.25">
      <c r="C8" s="4"/>
      <c r="E8" s="33"/>
      <c r="F8" s="33"/>
      <c r="G8" s="33"/>
      <c r="H8" s="33"/>
    </row>
    <row r="9" spans="1:8" x14ac:dyDescent="0.25">
      <c r="C9" s="4"/>
      <c r="E9" s="33"/>
      <c r="F9" s="33"/>
      <c r="G9" s="33"/>
      <c r="H9" s="33"/>
    </row>
    <row r="10" spans="1:8" x14ac:dyDescent="0.25">
      <c r="C10" s="4"/>
      <c r="E10" s="33"/>
      <c r="F10" s="33"/>
      <c r="G10" s="33"/>
      <c r="H10" s="33"/>
    </row>
    <row r="11" spans="1:8" x14ac:dyDescent="0.25">
      <c r="C11" s="4"/>
      <c r="E11" s="33"/>
      <c r="F11" s="33"/>
      <c r="G11" s="33"/>
      <c r="H11" s="33"/>
    </row>
    <row r="12" spans="1:8" x14ac:dyDescent="0.25">
      <c r="C12" s="4"/>
      <c r="E12" s="33"/>
      <c r="F12" s="33"/>
      <c r="G12" s="33"/>
      <c r="H12" s="33"/>
    </row>
    <row r="13" spans="1:8" ht="18.75" x14ac:dyDescent="0.3">
      <c r="A13" s="12"/>
      <c r="B13" s="13"/>
      <c r="C13" s="4"/>
      <c r="E13" s="33"/>
      <c r="F13" s="33"/>
      <c r="G13" s="33"/>
      <c r="H13" s="33"/>
    </row>
    <row r="14" spans="1:8" x14ac:dyDescent="0.25">
      <c r="A14" s="14"/>
      <c r="B14" s="11"/>
      <c r="E14" s="33"/>
      <c r="F14" s="33"/>
      <c r="G14" s="33"/>
      <c r="H14" s="33"/>
    </row>
    <row r="15" spans="1:8" x14ac:dyDescent="0.25">
      <c r="E15" s="33"/>
      <c r="F15" s="33"/>
      <c r="G15" s="33"/>
      <c r="H15" s="33"/>
    </row>
    <row r="16" spans="1:8" x14ac:dyDescent="0.25">
      <c r="E16" s="33"/>
      <c r="F16" s="33"/>
      <c r="G16" s="33"/>
      <c r="H16" s="33"/>
    </row>
    <row r="17" spans="1:8" ht="28.5" x14ac:dyDescent="0.45">
      <c r="A17" s="7" t="s">
        <v>10</v>
      </c>
      <c r="B17" s="6"/>
      <c r="E17" s="33"/>
      <c r="F17" s="33"/>
      <c r="G17" s="33"/>
      <c r="H17" s="33"/>
    </row>
    <row r="18" spans="1:8" ht="30" x14ac:dyDescent="0.25">
      <c r="A18" s="8" t="s">
        <v>19</v>
      </c>
      <c r="B18" s="61" t="s">
        <v>142</v>
      </c>
      <c r="E18" s="33"/>
      <c r="F18" s="33"/>
      <c r="G18" s="33"/>
      <c r="H18" s="33"/>
    </row>
    <row r="19" spans="1:8" x14ac:dyDescent="0.25">
      <c r="A19" s="3" t="s">
        <v>20</v>
      </c>
      <c r="B19" s="3" t="s">
        <v>65</v>
      </c>
      <c r="E19" s="33"/>
      <c r="F19" s="33"/>
      <c r="G19" s="33"/>
      <c r="H19" s="33"/>
    </row>
    <row r="26" spans="1:8" ht="28.5" x14ac:dyDescent="0.45">
      <c r="A26" s="59" t="s">
        <v>11</v>
      </c>
      <c r="B26" s="60"/>
      <c r="C26" s="60"/>
    </row>
    <row r="27" spans="1:8" ht="42" x14ac:dyDescent="0.35">
      <c r="A27" s="58" t="s">
        <v>76</v>
      </c>
      <c r="B27" s="58" t="s">
        <v>103</v>
      </c>
      <c r="C27" s="58" t="s">
        <v>111</v>
      </c>
    </row>
    <row r="28" spans="1:8" ht="60" x14ac:dyDescent="0.25">
      <c r="A28" s="37" t="s">
        <v>160</v>
      </c>
      <c r="B28" s="37" t="s">
        <v>154</v>
      </c>
      <c r="C28" s="37" t="s">
        <v>153</v>
      </c>
    </row>
    <row r="29" spans="1:8" ht="45" x14ac:dyDescent="0.25">
      <c r="A29" s="37" t="s">
        <v>159</v>
      </c>
      <c r="B29" s="37" t="s">
        <v>155</v>
      </c>
      <c r="C29" s="37" t="s">
        <v>147</v>
      </c>
    </row>
    <row r="30" spans="1:8" ht="60" x14ac:dyDescent="0.25">
      <c r="A30" s="37" t="s">
        <v>158</v>
      </c>
      <c r="B30" s="37" t="s">
        <v>156</v>
      </c>
      <c r="C30" s="37" t="s">
        <v>149</v>
      </c>
    </row>
    <row r="31" spans="1:8" ht="60" x14ac:dyDescent="0.25">
      <c r="A31" s="62" t="s">
        <v>157</v>
      </c>
      <c r="B31" s="57" t="s">
        <v>144</v>
      </c>
      <c r="C31" s="37" t="s">
        <v>150</v>
      </c>
    </row>
    <row r="32" spans="1:8" ht="78.75" x14ac:dyDescent="0.25">
      <c r="A32" s="63" t="s">
        <v>140</v>
      </c>
      <c r="B32" s="57" t="s">
        <v>143</v>
      </c>
      <c r="C32" s="64" t="s">
        <v>152</v>
      </c>
    </row>
    <row r="33" spans="1:3" ht="63" x14ac:dyDescent="0.25">
      <c r="A33" s="30"/>
      <c r="B33" s="57" t="s">
        <v>145</v>
      </c>
      <c r="C33" s="64" t="s">
        <v>151</v>
      </c>
    </row>
    <row r="34" spans="1:3" ht="31.5" x14ac:dyDescent="0.25">
      <c r="A34" s="30"/>
      <c r="B34" s="57" t="s">
        <v>146</v>
      </c>
      <c r="C34" s="64"/>
    </row>
    <row r="35" spans="1:3" ht="18.75" x14ac:dyDescent="0.3">
      <c r="A35" s="48"/>
      <c r="B35" s="13"/>
    </row>
    <row r="36" spans="1:3" x14ac:dyDescent="0.25">
      <c r="B36" s="4"/>
    </row>
    <row r="37" spans="1:3" x14ac:dyDescent="0.25">
      <c r="B37" s="4"/>
    </row>
    <row r="38" spans="1:3" x14ac:dyDescent="0.25">
      <c r="B38" s="4"/>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2017-09-12T09:12:03Z</dcterms:modified>
</cp:coreProperties>
</file>