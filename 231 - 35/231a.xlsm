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231 - 35\"/>
    </mc:Choice>
  </mc:AlternateContent>
  <bookViews>
    <workbookView xWindow="0" yWindow="0" windowWidth="15096" windowHeight="6852"/>
  </bookViews>
  <sheets>
    <sheet name="Registering" sheetId="1" r:id="rId1"/>
    <sheet name="Data" sheetId="2" r:id="rId2"/>
    <sheet name="Utfall" sheetId="4" r:id="rId3"/>
    <sheet name="Logikk" sheetId="3" state="hidden" r:id="rId4"/>
  </sheets>
  <functionGroups builtInGroupCount="18"/>
  <definedNames>
    <definedName name="_xlnm._FilterDatabase" localSheetId="1" hidden="1">Data!$A$14:$N$14</definedName>
    <definedName name="d_ja">Logikk!$E$3</definedName>
    <definedName name="d_nei">Logikk!$E$4</definedName>
    <definedName name="element">Registering!$D$17</definedName>
    <definedName name="kommentar">Registering!$D$28</definedName>
    <definedName name="nettleser">Registering!$D$6</definedName>
    <definedName name="side">Registering!$D$11</definedName>
    <definedName name="slutt_data">Registering!$D$29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2" l="1"/>
  <c r="C40" i="4"/>
  <c r="D22" i="1" l="1"/>
  <c r="D23" i="1" s="1"/>
  <c r="D12" i="2" l="1"/>
  <c r="D11" i="2"/>
  <c r="D10" i="2" l="1"/>
  <c r="B2" i="2" l="1"/>
  <c r="A2" i="2"/>
</calcChain>
</file>

<file path=xl/sharedStrings.xml><?xml version="1.0" encoding="utf-8"?>
<sst xmlns="http://schemas.openxmlformats.org/spreadsheetml/2006/main" count="147" uniqueCount="112">
  <si>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</si>
  <si>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</si>
  <si>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</si>
  <si>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</si>
  <si>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</si>
  <si>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</si>
  <si>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</si>
  <si>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</si>
  <si>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</si>
  <si>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</si>
  <si>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</si>
  <si>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</si>
  <si>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</si>
  <si>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</si>
  <si>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</si>
  <si>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</si>
  <si>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</si>
  <si>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</si>
  <si>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</si>
  <si>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</si>
  <si>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</si>
  <si>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</si>
  <si>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</si>
  <si>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</si>
  <si>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</si>
  <si>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</si>
  <si>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</si>
  <si>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</si>
  <si>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</si>
  <si>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</si>
  <si>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</si>
  <si>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</si>
  <si>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</si>
  <si>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</si>
  <si>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</si>
  <si>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</si>
  <si>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</si>
  <si>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</si>
  <si>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</si>
  <si>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</si>
  <si>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</si>
  <si>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</si>
  <si>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</si>
  <si>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</si>
  <si>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Observasjon på nettsidenivå</t>
  </si>
  <si>
    <t>Ikkje-førekomst</t>
  </si>
  <si>
    <t>Side</t>
  </si>
  <si>
    <t>Steg</t>
  </si>
  <si>
    <t>2.1</t>
  </si>
  <si>
    <t>3.1</t>
  </si>
  <si>
    <t>Eventuelt: 
Legg til kommentar som utdjupar testresultat eller liknande.
Trykk på knappen "Legg til data".</t>
  </si>
  <si>
    <t>Opne førehandsdefinert testside.</t>
  </si>
  <si>
    <t>2.2</t>
  </si>
  <si>
    <t>Oppgi url for nettsida.</t>
  </si>
  <si>
    <t>Skriv inn url på ei slik form at vi kan nå aktuell nettside ved å klikke på lenka.</t>
  </si>
  <si>
    <t>2.3</t>
  </si>
  <si>
    <t>Sett oppløsninga på skjermen du testar på til 1024*768.</t>
  </si>
  <si>
    <t>Dette gjer du ved å endre innstillingane på skjermen i ditt operativsystem.</t>
  </si>
  <si>
    <t>2.4</t>
  </si>
  <si>
    <t>Størrelse på område som blinkar</t>
  </si>
  <si>
    <t>Opne skjermopptaket og spel av opptaket med låg avspelingshastigheit.</t>
  </si>
  <si>
    <t>Still inn avspelingsfart til lågaste nivå i videospelaren.
Du kan for eksempel bruke avsleparen VLC. I VLC gjer du følgjande:
- Vis statuslinja, for å få tilgang til mekanismen for å stille inn avspelingshastigheit.
- Velg lågaste avspelingshastigheit i avspelaren</t>
  </si>
  <si>
    <t>Du kan bruke eit verktøy for å ta skjermbilete, som for eksempel Snagit. Verktøyet må vise kor mange pikslar skjermutklippet er.
Viss det finst fleire førekomstar av innhald som blinkar innafor same skjermhøgde på nettsida, skal du måle opp eit område om inneheld desse.</t>
  </si>
  <si>
    <t>Størrelsa på området i kvadratpikslar.</t>
  </si>
  <si>
    <t>Blir rekna ut automatisk.</t>
  </si>
  <si>
    <t>Kva er høgda på området i pikslar?</t>
  </si>
  <si>
    <t>Kva er bredda på området i pikslar?</t>
  </si>
  <si>
    <t>Frekvens på blinking/glimt</t>
  </si>
  <si>
    <t>Sørg for at nettsida har lasta inn fullstendig før du går i gang med testen.
Blinking på grunn av skjem eller innlasting av nettsida skal ikkje testast. Blinking er veksling mellom to visuelle tilstandar for å vekke merksemd. Glimt er motsatte parvise skift i relativ lysstyrke som kan forårsake (epileptiske) anfall.
Du skal vurdere alt innhald på nettsida. Dette omfattar også alle bilete, animasjonar og alle videoklipp. I videoklipp er det nok å teste første 
Merk: Du skal ikkje teste videoklipp i fullskjermsvisning.</t>
  </si>
  <si>
    <t>3.9</t>
  </si>
  <si>
    <t>Kva type innhald er det som blinkar?</t>
  </si>
  <si>
    <t>Beskriv innhaldet som blinkar</t>
  </si>
  <si>
    <t>Legg inn overskrift, eller andre stikkord som er slik at skjemaet kan identifiserast.
Viss blinkinga skjer i ein video, skal du også skrive inn tidspunktet blinkinga skjer i videoen.</t>
  </si>
  <si>
    <t>3.10</t>
  </si>
  <si>
    <t>3.11</t>
  </si>
  <si>
    <t>2.3.1 a Nettsida har ikkje innhald som glimtar</t>
  </si>
  <si>
    <t>G167</t>
  </si>
  <si>
    <t>G19</t>
  </si>
  <si>
    <r>
      <t xml:space="preserve">Er området større enn 21 824 kvadratpikslar?
</t>
    </r>
    <r>
      <rPr>
        <b/>
        <sz val="11"/>
        <color rgb="FFFF0000"/>
        <rFont val="Calibri"/>
        <family val="2"/>
        <scheme val="minor"/>
      </rPr>
      <t>Viss Nei, gå til steg 3.11 for å skrive inn kommentar.</t>
    </r>
  </si>
  <si>
    <r>
      <t xml:space="preserve">Har nettsida innhald som blinkar/gimtar?
</t>
    </r>
    <r>
      <rPr>
        <b/>
        <sz val="11"/>
        <color rgb="FFFF0000"/>
        <rFont val="Calibri"/>
        <family val="2"/>
        <scheme val="minor"/>
      </rPr>
      <t>Viss Nei, gå til steg 3.11 for å skrive inn kommentar.</t>
    </r>
  </si>
  <si>
    <t>Element</t>
  </si>
  <si>
    <t>Ingen</t>
  </si>
  <si>
    <t>Side utan innhald som blinkar.</t>
  </si>
  <si>
    <t>Innhald som blinkar</t>
  </si>
  <si>
    <t>2.3 = ja eller 3.7 = nei eller 3.10 = nei</t>
  </si>
  <si>
    <t>Type innhald</t>
  </si>
  <si>
    <t>Bilete</t>
  </si>
  <si>
    <t>Anna</t>
  </si>
  <si>
    <t>Video</t>
  </si>
  <si>
    <t>Innhald som blinkar og har ein storleik på mindre enn 21 824 kvadratpikslar.</t>
  </si>
  <si>
    <t>Sist oppdatert av Difi</t>
  </si>
  <si>
    <r>
      <t>2.3.1 Terskelverdi på maksimalt tre glimt:</t>
    </r>
    <r>
      <rPr>
        <sz val="11"/>
        <color theme="1"/>
        <rFont val="Calibri"/>
        <family val="2"/>
        <scheme val="minor"/>
      </rPr>
      <t xml:space="preserve">
Websider har ikke innhold som glimter mer enn tre ganger i løpet av ett sekund, eller glimt er innenfor terskelverdiene for generelle glimt og røde glimt. (Nivå A)</t>
    </r>
  </si>
  <si>
    <t>Mål størrelse på innhaldet som blinkar på nettsida.</t>
  </si>
  <si>
    <t>Ta eit opptak av blinkinga og lagre opptaket.</t>
  </si>
  <si>
    <t>Du kan bruke eit verktøy for å ta skjermbilete, som for eksempel Snagit. Ta eit skjermopptak av blinkinga.</t>
  </si>
  <si>
    <t>3. For kvart element som blinkar</t>
  </si>
  <si>
    <t>Finst det blinking med frekvens på meir enn tre blink i sekundet?</t>
  </si>
  <si>
    <r>
      <t xml:space="preserve">Legg inn kommentar i dataregistreringsfeltet.
</t>
    </r>
    <r>
      <rPr>
        <b/>
        <sz val="11"/>
        <color theme="1"/>
        <rFont val="Calibri"/>
        <family val="2"/>
        <scheme val="minor"/>
      </rPr>
      <t>Hugs å teste gjennom heile nettsida og registrer kvar forekomst av blinking.</t>
    </r>
  </si>
  <si>
    <t>Følg med på avspelinga og tell kor mange gongar innhaldet blinkar i løpet av eit sekund i videoavspilleren.
Merk: Du må teste heile tidsperioden som inneheld blinking.</t>
  </si>
  <si>
    <t>Innhald som blinkar meir enn tre blink i sekundet og har ein storleik større enn 21 824 kvadratpikslar.</t>
  </si>
  <si>
    <t>Innhald som blinkar færre enn tre blink i sekundet.</t>
  </si>
  <si>
    <t>Utfall (oppsummering av observasjon)</t>
  </si>
  <si>
    <t>Registrering</t>
  </si>
  <si>
    <t>Utfall</t>
  </si>
  <si>
    <t>Samsvar</t>
  </si>
  <si>
    <t>brudd</t>
  </si>
  <si>
    <t>nei</t>
  </si>
  <si>
    <t>ja</t>
  </si>
  <si>
    <t>samsvar</t>
  </si>
  <si>
    <t>2.3.1a</t>
  </si>
  <si>
    <t>Samsvar med krav?</t>
  </si>
  <si>
    <r>
      <t xml:space="preserve">Krav til samsvar:
</t>
    </r>
    <r>
      <rPr>
        <sz val="11"/>
        <color theme="1"/>
        <rFont val="Calibri"/>
        <family val="2"/>
        <scheme val="minor"/>
      </rPr>
      <t xml:space="preserve">Nettsida har ikkje innhald som glimtar. 
Viss nettsida har innhald som blinkar, er ein av følgjande oppfylt:
- Innhaldet som blinkar har storleik på mindre enn 21 824 kvadratpikslar.
- Blinkinga er på færre enn tre blink i sekundet.
</t>
    </r>
    <r>
      <rPr>
        <b/>
        <sz val="11"/>
        <color theme="1"/>
        <rFont val="Calibri"/>
        <family val="2"/>
        <scheme val="minor"/>
      </rPr>
      <t xml:space="preserve">Merk: </t>
    </r>
    <r>
      <rPr>
        <sz val="11"/>
        <color theme="1"/>
        <rFont val="Calibri"/>
        <family val="2"/>
        <scheme val="minor"/>
      </rPr>
      <t>Det er vanskeleg og tidkrevjande å verifisere nettløysingar mot dette suksesskriteriet. Testprosedyren krev i tillegg tilgang på verktøy for måling.</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</si>
</sst>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rgb="FFD8E5E6"/>
        <bgColor indexed="64"/>
      </patternFill>
    </fill>
  </fills>
  <borders count="1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1"/>
      </right>
      <top style="thin">
        <color theme="1"/>
      </top>
      <bottom style="thin">
        <color theme="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1"/>
      </left>
      <right/>
      <top/>
      <bottom style="thin">
        <color theme="1"/>
      </bottom>
      <diagonal/>
    </border>
    <border>
      <left style="thin">
        <color theme="1"/>
      </left>
      <right/>
      <top style="thin">
        <color theme="1"/>
      </top>
      <bottom style="thin">
        <color theme="1"/>
      </bottom>
      <diagonal/>
    </border>
    <border>
      <left/>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0" xfId="0" applyFill="1"/>
    <xf numFmtId="0" fontId="0" fillId="6" borderId="0" xfId="0" applyFill="1" applyAlignment="1">
      <alignment horizontal="left" vertical="center"/>
    </xf>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7" fillId="7" borderId="5" xfId="0" applyFont="1" applyFill="1" applyBorder="1"/>
    <xf numFmtId="0" fontId="7" fillId="7" borderId="6" xfId="0" applyFont="1" applyFill="1" applyBorder="1"/>
    <xf numFmtId="0" fontId="0" fillId="0" borderId="7" xfId="0" applyBorder="1"/>
    <xf numFmtId="0" fontId="0" fillId="6" borderId="3" xfId="0" applyFill="1" applyBorder="1"/>
    <xf numFmtId="0" fontId="0" fillId="0" borderId="7" xfId="0" applyBorder="1" applyAlignment="1">
      <alignment horizontal="left"/>
    </xf>
    <xf numFmtId="0" fontId="0" fillId="0" borderId="1" xfId="0" applyBorder="1" applyAlignment="1">
      <alignment horizontal="center" vertical="center" wrapText="1"/>
    </xf>
    <xf numFmtId="49" fontId="0" fillId="0" borderId="1" xfId="0" applyNumberFormat="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9" fillId="0" borderId="0" xfId="0" applyFont="1" applyBorder="1"/>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2" fillId="9" borderId="0" xfId="0" applyFont="1" applyFill="1" applyBorder="1" applyAlignment="1">
      <alignment vertical="center"/>
    </xf>
    <xf numFmtId="0" fontId="0" fillId="9" borderId="0" xfId="0" applyFill="1" applyBorder="1" applyAlignment="1">
      <alignment vertical="center"/>
    </xf>
    <xf numFmtId="0" fontId="0" fillId="9" borderId="0" xfId="1" applyFont="1" applyFill="1" applyBorder="1" applyAlignment="1">
      <alignment horizontal="center" vertical="center"/>
    </xf>
    <xf numFmtId="49" fontId="0" fillId="4" borderId="8" xfId="0" applyNumberFormat="1" applyFill="1" applyBorder="1" applyAlignment="1">
      <alignment horizontal="center" vertical="center" wrapText="1"/>
    </xf>
    <xf numFmtId="0" fontId="0" fillId="4" borderId="8" xfId="0" applyFill="1" applyBorder="1" applyAlignment="1">
      <alignment vertical="center" wrapText="1"/>
    </xf>
    <xf numFmtId="0" fontId="0" fillId="4" borderId="8" xfId="0" applyFill="1" applyBorder="1" applyAlignment="1">
      <alignment horizontal="center" vertical="center" wrapText="1"/>
    </xf>
    <xf numFmtId="0" fontId="0" fillId="5" borderId="8" xfId="0" applyFill="1" applyBorder="1" applyAlignment="1">
      <alignment horizontal="center" vertical="center" wrapText="1"/>
    </xf>
    <xf numFmtId="0" fontId="0" fillId="4" borderId="8" xfId="1" applyFont="1" applyFill="1" applyBorder="1" applyAlignment="1">
      <alignment horizontal="center" vertical="center" wrapText="1"/>
    </xf>
    <xf numFmtId="0" fontId="11" fillId="4" borderId="8" xfId="0" applyFont="1" applyFill="1" applyBorder="1" applyAlignment="1">
      <alignment horizontal="left" vertical="center" wrapText="1"/>
    </xf>
    <xf numFmtId="0" fontId="12" fillId="0" borderId="8" xfId="0" applyFont="1" applyFill="1" applyBorder="1" applyAlignment="1">
      <alignment horizontal="center" vertical="center" wrapText="1"/>
    </xf>
    <xf numFmtId="0" fontId="3" fillId="4" borderId="8" xfId="0" applyFont="1" applyFill="1" applyBorder="1" applyAlignment="1">
      <alignment horizontal="center" vertical="center" wrapText="1"/>
    </xf>
    <xf numFmtId="0" fontId="0" fillId="4" borderId="8" xfId="0" applyFill="1" applyBorder="1" applyAlignment="1">
      <alignment horizontal="left" vertical="center" wrapText="1"/>
    </xf>
    <xf numFmtId="0" fontId="0" fillId="0" borderId="8" xfId="0" applyBorder="1" applyAlignment="1">
      <alignment horizontal="center" vertical="center" wrapText="1"/>
    </xf>
    <xf numFmtId="0" fontId="1" fillId="2" borderId="8" xfId="0" applyFont="1" applyFill="1" applyBorder="1" applyAlignment="1">
      <alignment horizontal="left" vertical="center" wrapText="1"/>
    </xf>
    <xf numFmtId="0" fontId="1" fillId="2" borderId="8" xfId="0" applyFont="1" applyFill="1" applyBorder="1" applyAlignment="1">
      <alignment vertical="center" wrapText="1"/>
    </xf>
    <xf numFmtId="164" fontId="1" fillId="2" borderId="8" xfId="0" applyNumberFormat="1" applyFont="1" applyFill="1" applyBorder="1" applyAlignment="1">
      <alignment vertical="center" wrapText="1"/>
    </xf>
    <xf numFmtId="0" fontId="8" fillId="0" borderId="9" xfId="0" applyFont="1" applyBorder="1"/>
    <xf numFmtId="0" fontId="9" fillId="0" borderId="10" xfId="0" applyFont="1" applyBorder="1" applyAlignment="1">
      <alignment wrapText="1"/>
    </xf>
    <xf numFmtId="0" fontId="8" fillId="0" borderId="3" xfId="0" applyFont="1" applyBorder="1"/>
    <xf numFmtId="0" fontId="9" fillId="0" borderId="3" xfId="0" applyFont="1" applyBorder="1" applyAlignment="1">
      <alignment wrapText="1"/>
    </xf>
    <xf numFmtId="0" fontId="15" fillId="7" borderId="5" xfId="0" applyFont="1" applyFill="1" applyBorder="1" applyAlignment="1">
      <alignment horizontal="left" vertical="top"/>
    </xf>
    <xf numFmtId="0" fontId="15" fillId="7" borderId="11" xfId="0" applyFont="1" applyFill="1" applyBorder="1" applyAlignment="1">
      <alignment horizontal="left" vertical="top"/>
    </xf>
    <xf numFmtId="0" fontId="15" fillId="7" borderId="12" xfId="0" applyFont="1" applyFill="1" applyBorder="1"/>
    <xf numFmtId="49" fontId="15" fillId="7" borderId="12" xfId="0" applyNumberFormat="1" applyFont="1" applyFill="1" applyBorder="1"/>
    <xf numFmtId="0" fontId="0" fillId="5" borderId="3" xfId="0" applyFill="1" applyBorder="1" applyAlignment="1">
      <alignment vertical="top" wrapText="1"/>
    </xf>
    <xf numFmtId="0" fontId="3" fillId="5" borderId="3" xfId="0" applyFont="1" applyFill="1" applyBorder="1"/>
    <xf numFmtId="0" fontId="3" fillId="4" borderId="3" xfId="0" applyFont="1" applyFill="1" applyBorder="1"/>
    <xf numFmtId="0" fontId="14" fillId="3" borderId="0" xfId="0" applyFont="1" applyFill="1" applyBorder="1" applyAlignment="1">
      <alignment vertical="center" wrapText="1"/>
    </xf>
    <xf numFmtId="49" fontId="0" fillId="6" borderId="0" xfId="0" applyNumberFormat="1" applyFill="1" applyBorder="1" applyAlignment="1">
      <alignment horizontal="center" vertical="center" wrapText="1"/>
    </xf>
    <xf numFmtId="0" fontId="0" fillId="9" borderId="0" xfId="0" applyFill="1"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xf numFmtId="0" fontId="15" fillId="7" borderId="5" xfId="0" applyFont="1" applyFill="1" applyBorder="1" applyAlignment="1">
      <alignment horizontal="center"/>
    </xf>
    <xf numFmtId="0" fontId="15" fillId="7" borderId="11" xfId="0" applyFont="1" applyFill="1" applyBorder="1" applyAlignment="1">
      <alignment horizontal="center"/>
    </xf>
  </cellXfs>
  <cellStyles count="2">
    <cellStyle name="Hyperkobling" xfId="1" builtinId="8"/>
    <cellStyle name="Normal" xfId="0" builtinId="0"/>
  </cellStyles>
  <dxfs count="24">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2E5E6"/>
      <color rgb="FFF2ED93"/>
      <color rgb="FFD8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28</xdr:row>
          <xdr:rowOff>7620</xdr:rowOff>
        </xdr:from>
        <xdr:to>
          <xdr:col>5</xdr:col>
          <xdr:colOff>0</xdr:colOff>
          <xdr:row>29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xdr:from>
      <xdr:col>2</xdr:col>
      <xdr:colOff>2695574</xdr:colOff>
      <xdr:row>13</xdr:row>
      <xdr:rowOff>66675</xdr:rowOff>
    </xdr:from>
    <xdr:to>
      <xdr:col>5</xdr:col>
      <xdr:colOff>117413</xdr:colOff>
      <xdr:row>13</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505574" y="9629775"/>
          <a:ext cx="3136839" cy="283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nettstad</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2560320</xdr:colOff>
          <xdr:row>13</xdr:row>
          <xdr:rowOff>68580</xdr:rowOff>
        </xdr:from>
        <xdr:to>
          <xdr:col>4</xdr:col>
          <xdr:colOff>655320</xdr:colOff>
          <xdr:row>13</xdr:row>
          <xdr:rowOff>342900</xdr:rowOff>
        </xdr:to>
        <xdr:sp macro="" textlink="">
          <xdr:nvSpPr>
            <xdr:cNvPr id="2052" name="Avmerkingsboks"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156633</xdr:colOff>
      <xdr:row>1</xdr:row>
      <xdr:rowOff>369358</xdr:rowOff>
    </xdr:from>
    <xdr:to>
      <xdr:col>4</xdr:col>
      <xdr:colOff>775758</xdr:colOff>
      <xdr:row>1</xdr:row>
      <xdr:rowOff>864658</xdr:rowOff>
    </xdr:to>
    <xdr:pic>
      <xdr:nvPicPr>
        <xdr:cNvPr id="7" name="Bilde 6" descr="Difi-logo">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8483" y="750358"/>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5" name="Bilde 4" descr="Difi-logo">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398000" y="11430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0</xdr:col>
      <xdr:colOff>1924050</xdr:colOff>
      <xdr:row>9</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4955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48"/>
  <sheetViews>
    <sheetView showGridLines="0" tabSelected="1" zoomScaleNormal="100" workbookViewId="0"/>
  </sheetViews>
  <sheetFormatPr baseColWidth="10" defaultColWidth="11.5546875" defaultRowHeight="14.4" outlineLevelRow="1" x14ac:dyDescent="0.3"/>
  <cols>
    <col min="1" max="1" width="6.5546875" style="1" customWidth="1"/>
    <col min="2" max="3" width="50.5546875" style="1" customWidth="1"/>
    <col min="4" max="4" width="19.5546875" style="9" bestFit="1" customWidth="1"/>
    <col min="5" max="5" width="15.5546875" style="1" customWidth="1"/>
    <col min="6" max="16384" width="11.5546875" style="1"/>
  </cols>
  <sheetData>
    <row r="1" spans="1:11" s="36" customFormat="1" ht="30" customHeight="1" x14ac:dyDescent="0.3">
      <c r="A1" s="39" t="s">
        <v>75</v>
      </c>
      <c r="B1" s="40"/>
      <c r="C1" s="40"/>
      <c r="D1" s="88"/>
      <c r="E1" s="40"/>
    </row>
    <row r="2" spans="1:11" s="60" customFormat="1" ht="172.8" outlineLevel="1" x14ac:dyDescent="0.3">
      <c r="A2" s="58" t="s">
        <v>7</v>
      </c>
      <c r="B2" s="59" t="s">
        <v>91</v>
      </c>
      <c r="C2" s="59" t="s">
        <v>111</v>
      </c>
      <c r="D2" s="55" t="s">
        <v>90</v>
      </c>
      <c r="E2" s="56">
        <v>43083</v>
      </c>
    </row>
    <row r="3" spans="1:11" ht="30" customHeight="1" x14ac:dyDescent="0.3">
      <c r="A3" s="41" t="s">
        <v>3</v>
      </c>
      <c r="B3" s="37"/>
      <c r="C3" s="37"/>
      <c r="D3" s="38"/>
      <c r="E3" s="37"/>
    </row>
    <row r="4" spans="1:11" ht="39" customHeight="1" x14ac:dyDescent="0.3">
      <c r="A4" s="74" t="s">
        <v>47</v>
      </c>
      <c r="B4" s="75" t="s">
        <v>16</v>
      </c>
      <c r="C4" s="75" t="s">
        <v>14</v>
      </c>
      <c r="D4" s="76" t="s">
        <v>6</v>
      </c>
      <c r="E4" s="74" t="s">
        <v>13</v>
      </c>
    </row>
    <row r="5" spans="1:11" x14ac:dyDescent="0.3">
      <c r="A5" s="64" t="s">
        <v>1</v>
      </c>
      <c r="B5" s="65" t="s">
        <v>27</v>
      </c>
      <c r="C5" s="65"/>
      <c r="D5" s="66"/>
      <c r="E5" s="71"/>
      <c r="F5"/>
      <c r="G5"/>
      <c r="H5"/>
      <c r="I5"/>
      <c r="J5"/>
      <c r="K5"/>
    </row>
    <row r="6" spans="1:11" x14ac:dyDescent="0.3">
      <c r="A6" s="64" t="s">
        <v>2</v>
      </c>
      <c r="B6" s="65" t="s">
        <v>28</v>
      </c>
      <c r="C6" s="65" t="s">
        <v>29</v>
      </c>
      <c r="D6" s="67"/>
      <c r="E6" s="71"/>
      <c r="F6"/>
      <c r="G6"/>
      <c r="H6"/>
      <c r="I6"/>
      <c r="J6"/>
      <c r="K6"/>
    </row>
    <row r="7" spans="1:11" ht="28.8" x14ac:dyDescent="0.3">
      <c r="A7" s="64" t="s">
        <v>12</v>
      </c>
      <c r="B7" s="65" t="s">
        <v>30</v>
      </c>
      <c r="C7" s="65" t="s">
        <v>31</v>
      </c>
      <c r="D7" s="73"/>
      <c r="E7" s="71"/>
      <c r="F7"/>
      <c r="G7"/>
      <c r="H7"/>
      <c r="I7"/>
      <c r="J7"/>
      <c r="K7"/>
    </row>
    <row r="8" spans="1:11" ht="30" customHeight="1" x14ac:dyDescent="0.3">
      <c r="A8" s="42" t="s">
        <v>18</v>
      </c>
      <c r="B8" s="43"/>
      <c r="C8" s="43"/>
      <c r="D8" s="89"/>
      <c r="E8" s="43"/>
      <c r="F8"/>
      <c r="G8"/>
      <c r="H8"/>
      <c r="I8"/>
      <c r="J8"/>
      <c r="K8"/>
    </row>
    <row r="9" spans="1:11" ht="39" customHeight="1" x14ac:dyDescent="0.3">
      <c r="A9" s="74" t="s">
        <v>47</v>
      </c>
      <c r="B9" s="75" t="s">
        <v>16</v>
      </c>
      <c r="C9" s="75" t="s">
        <v>14</v>
      </c>
      <c r="D9" s="76" t="s">
        <v>6</v>
      </c>
      <c r="E9" s="74" t="s">
        <v>13</v>
      </c>
    </row>
    <row r="10" spans="1:11" x14ac:dyDescent="0.3">
      <c r="A10" s="64" t="s">
        <v>48</v>
      </c>
      <c r="B10" s="65" t="s">
        <v>51</v>
      </c>
      <c r="C10" s="65"/>
      <c r="D10" s="66"/>
      <c r="E10" s="66"/>
      <c r="F10"/>
      <c r="G10"/>
      <c r="H10"/>
      <c r="I10"/>
      <c r="J10"/>
      <c r="K10"/>
    </row>
    <row r="11" spans="1:11" ht="28.8" x14ac:dyDescent="0.3">
      <c r="A11" s="64" t="s">
        <v>52</v>
      </c>
      <c r="B11" s="65" t="s">
        <v>53</v>
      </c>
      <c r="C11" s="65" t="s">
        <v>54</v>
      </c>
      <c r="D11" s="73"/>
      <c r="E11" s="66"/>
      <c r="F11"/>
      <c r="G11"/>
      <c r="H11"/>
      <c r="I11"/>
      <c r="J11"/>
      <c r="K11"/>
    </row>
    <row r="12" spans="1:11" ht="187.2" x14ac:dyDescent="0.3">
      <c r="A12" s="64" t="s">
        <v>55</v>
      </c>
      <c r="B12" s="65" t="s">
        <v>79</v>
      </c>
      <c r="C12" s="65" t="s">
        <v>68</v>
      </c>
      <c r="D12" s="73"/>
      <c r="E12" s="66"/>
      <c r="F12"/>
      <c r="G12"/>
      <c r="H12"/>
      <c r="I12"/>
      <c r="J12"/>
      <c r="K12"/>
    </row>
    <row r="13" spans="1:11" ht="28.8" x14ac:dyDescent="0.3">
      <c r="A13" s="64" t="s">
        <v>58</v>
      </c>
      <c r="B13" s="72" t="s">
        <v>56</v>
      </c>
      <c r="C13" s="72" t="s">
        <v>57</v>
      </c>
      <c r="D13" s="66"/>
      <c r="E13" s="66"/>
      <c r="F13"/>
      <c r="G13"/>
      <c r="H13"/>
      <c r="I13"/>
      <c r="J13"/>
      <c r="K13"/>
    </row>
    <row r="14" spans="1:11" ht="30" customHeight="1" x14ac:dyDescent="0.3">
      <c r="A14" s="42" t="s">
        <v>95</v>
      </c>
      <c r="B14" s="37"/>
      <c r="C14" s="37"/>
      <c r="D14" s="38"/>
      <c r="E14" s="37"/>
      <c r="F14"/>
      <c r="G14"/>
      <c r="H14"/>
      <c r="I14"/>
      <c r="J14"/>
      <c r="K14"/>
    </row>
    <row r="15" spans="1:11" ht="39" customHeight="1" x14ac:dyDescent="0.3">
      <c r="A15" s="74" t="s">
        <v>47</v>
      </c>
      <c r="B15" s="75" t="s">
        <v>16</v>
      </c>
      <c r="C15" s="75" t="s">
        <v>14</v>
      </c>
      <c r="D15" s="76" t="s">
        <v>6</v>
      </c>
      <c r="E15" s="74" t="s">
        <v>13</v>
      </c>
      <c r="F15"/>
      <c r="G15"/>
      <c r="H15"/>
      <c r="I15"/>
      <c r="J15"/>
      <c r="K15"/>
    </row>
    <row r="16" spans="1:11" x14ac:dyDescent="0.3">
      <c r="A16" s="64" t="s">
        <v>49</v>
      </c>
      <c r="B16" s="65" t="s">
        <v>70</v>
      </c>
      <c r="C16" s="65"/>
      <c r="D16" s="73"/>
      <c r="E16" s="66"/>
      <c r="F16"/>
      <c r="G16"/>
      <c r="H16"/>
      <c r="I16"/>
      <c r="J16"/>
      <c r="K16"/>
    </row>
    <row r="17" spans="1:11" ht="72" x14ac:dyDescent="0.3">
      <c r="A17" s="64" t="s">
        <v>22</v>
      </c>
      <c r="B17" s="65" t="s">
        <v>71</v>
      </c>
      <c r="C17" s="65" t="s">
        <v>72</v>
      </c>
      <c r="D17" s="73"/>
      <c r="E17" s="66"/>
      <c r="F17"/>
      <c r="G17"/>
      <c r="H17"/>
      <c r="I17"/>
      <c r="J17"/>
      <c r="K17"/>
    </row>
    <row r="18" spans="1:11" x14ac:dyDescent="0.3">
      <c r="A18" s="61" t="s">
        <v>59</v>
      </c>
      <c r="B18" s="61"/>
      <c r="C18" s="62"/>
      <c r="D18" s="90"/>
      <c r="E18" s="63"/>
      <c r="F18"/>
      <c r="G18"/>
      <c r="H18"/>
      <c r="I18"/>
      <c r="J18"/>
      <c r="K18"/>
    </row>
    <row r="19" spans="1:11" ht="100.8" x14ac:dyDescent="0.3">
      <c r="A19" s="64" t="s">
        <v>32</v>
      </c>
      <c r="B19" s="65" t="s">
        <v>92</v>
      </c>
      <c r="C19" s="72" t="s">
        <v>62</v>
      </c>
      <c r="D19" s="66"/>
      <c r="E19" s="66"/>
      <c r="F19"/>
      <c r="G19"/>
      <c r="H19"/>
      <c r="I19"/>
      <c r="J19"/>
      <c r="K19"/>
    </row>
    <row r="20" spans="1:11" x14ac:dyDescent="0.3">
      <c r="A20" s="64" t="s">
        <v>23</v>
      </c>
      <c r="B20" s="65" t="s">
        <v>66</v>
      </c>
      <c r="C20" s="72"/>
      <c r="D20" s="73"/>
      <c r="E20" s="66"/>
      <c r="F20"/>
      <c r="G20"/>
      <c r="H20"/>
      <c r="I20"/>
      <c r="J20"/>
      <c r="K20"/>
    </row>
    <row r="21" spans="1:11" x14ac:dyDescent="0.3">
      <c r="A21" s="64" t="s">
        <v>34</v>
      </c>
      <c r="B21" s="65" t="s">
        <v>65</v>
      </c>
      <c r="C21" s="72"/>
      <c r="D21" s="73"/>
      <c r="E21" s="66"/>
      <c r="F21"/>
      <c r="G21"/>
      <c r="H21"/>
      <c r="I21"/>
      <c r="J21"/>
      <c r="K21"/>
    </row>
    <row r="22" spans="1:11" x14ac:dyDescent="0.3">
      <c r="A22" s="64" t="s">
        <v>24</v>
      </c>
      <c r="B22" s="65" t="s">
        <v>63</v>
      </c>
      <c r="C22" s="72" t="s">
        <v>64</v>
      </c>
      <c r="D22" s="66" t="str">
        <f>IF(D20&lt;&gt;"",D20*D21,"")</f>
        <v/>
      </c>
      <c r="E22" s="66"/>
      <c r="F22"/>
      <c r="G22"/>
      <c r="H22"/>
      <c r="I22"/>
      <c r="J22"/>
      <c r="K22"/>
    </row>
    <row r="23" spans="1:11" ht="43.2" x14ac:dyDescent="0.3">
      <c r="A23" s="64" t="s">
        <v>25</v>
      </c>
      <c r="B23" s="65" t="s">
        <v>78</v>
      </c>
      <c r="C23" s="72" t="s">
        <v>64</v>
      </c>
      <c r="D23" s="66" t="str">
        <f>IF(D22&lt;&gt;"",IF(D22&gt;21824,"Ja","Nei"),"")</f>
        <v/>
      </c>
      <c r="E23" s="66" t="s">
        <v>76</v>
      </c>
      <c r="F23"/>
      <c r="G23"/>
      <c r="H23"/>
      <c r="I23"/>
      <c r="J23"/>
      <c r="K23"/>
    </row>
    <row r="24" spans="1:11" x14ac:dyDescent="0.3">
      <c r="A24" s="61" t="s">
        <v>67</v>
      </c>
      <c r="B24" s="61"/>
      <c r="C24" s="62"/>
      <c r="D24" s="90"/>
      <c r="E24" s="63"/>
      <c r="F24"/>
      <c r="G24"/>
      <c r="H24"/>
      <c r="I24"/>
      <c r="J24"/>
      <c r="K24"/>
    </row>
    <row r="25" spans="1:11" ht="28.8" x14ac:dyDescent="0.3">
      <c r="A25" s="64" t="s">
        <v>26</v>
      </c>
      <c r="B25" s="65" t="s">
        <v>93</v>
      </c>
      <c r="C25" s="65" t="s">
        <v>94</v>
      </c>
      <c r="D25" s="66"/>
      <c r="E25" s="66"/>
      <c r="F25"/>
      <c r="G25"/>
      <c r="H25"/>
      <c r="I25"/>
      <c r="J25"/>
      <c r="K25"/>
    </row>
    <row r="26" spans="1:11" ht="100.8" x14ac:dyDescent="0.3">
      <c r="A26" s="64" t="s">
        <v>69</v>
      </c>
      <c r="B26" s="65" t="s">
        <v>60</v>
      </c>
      <c r="C26" s="65" t="s">
        <v>61</v>
      </c>
      <c r="D26" s="66"/>
      <c r="E26" s="66"/>
      <c r="F26"/>
      <c r="G26"/>
      <c r="H26"/>
      <c r="I26"/>
      <c r="J26"/>
      <c r="K26"/>
    </row>
    <row r="27" spans="1:11" ht="57.6" x14ac:dyDescent="0.3">
      <c r="A27" s="64" t="s">
        <v>73</v>
      </c>
      <c r="B27" s="65" t="s">
        <v>96</v>
      </c>
      <c r="C27" s="65" t="s">
        <v>98</v>
      </c>
      <c r="D27" s="67"/>
      <c r="E27" s="68" t="s">
        <v>77</v>
      </c>
      <c r="F27"/>
      <c r="G27"/>
      <c r="H27"/>
      <c r="I27"/>
      <c r="J27"/>
      <c r="K27"/>
    </row>
    <row r="28" spans="1:11" ht="72" x14ac:dyDescent="0.3">
      <c r="A28" s="64" t="s">
        <v>74</v>
      </c>
      <c r="B28" s="69" t="s">
        <v>50</v>
      </c>
      <c r="C28" s="65" t="s">
        <v>97</v>
      </c>
      <c r="D28" s="70"/>
      <c r="E28" s="71"/>
    </row>
    <row r="29" spans="1:11" ht="30" customHeight="1" x14ac:dyDescent="0.3">
      <c r="A29" s="42" t="s">
        <v>43</v>
      </c>
      <c r="B29" s="37"/>
      <c r="C29" s="37"/>
      <c r="D29" s="38"/>
      <c r="E29" s="44"/>
    </row>
    <row r="30" spans="1:11" x14ac:dyDescent="0.3">
      <c r="B30" s="9"/>
      <c r="C30" s="9"/>
    </row>
    <row r="31" spans="1:11" x14ac:dyDescent="0.3">
      <c r="B31" s="9"/>
      <c r="C31" s="9"/>
    </row>
    <row r="32" spans="1:11" x14ac:dyDescent="0.3">
      <c r="B32" s="9"/>
      <c r="C32" s="9"/>
    </row>
    <row r="33" spans="2:3" x14ac:dyDescent="0.3">
      <c r="B33" s="9"/>
      <c r="C33" s="9"/>
    </row>
    <row r="34" spans="2:3" x14ac:dyDescent="0.3">
      <c r="B34" s="9"/>
      <c r="C34" s="9"/>
    </row>
    <row r="35" spans="2:3" x14ac:dyDescent="0.3">
      <c r="B35" s="9"/>
      <c r="C35" s="9"/>
    </row>
    <row r="36" spans="2:3" x14ac:dyDescent="0.3">
      <c r="B36" s="9"/>
      <c r="C36" s="9"/>
    </row>
    <row r="37" spans="2:3" x14ac:dyDescent="0.3">
      <c r="B37" s="9"/>
      <c r="C37" s="9"/>
    </row>
    <row r="38" spans="2:3" x14ac:dyDescent="0.3">
      <c r="B38" s="9"/>
      <c r="C38" s="9"/>
    </row>
    <row r="39" spans="2:3" x14ac:dyDescent="0.3">
      <c r="B39" s="9"/>
      <c r="C39" s="9"/>
    </row>
    <row r="40" spans="2:3" x14ac:dyDescent="0.3">
      <c r="B40" s="9"/>
      <c r="C40" s="9"/>
    </row>
    <row r="41" spans="2:3" x14ac:dyDescent="0.3">
      <c r="B41" s="9"/>
      <c r="C41" s="9"/>
    </row>
    <row r="42" spans="2:3" x14ac:dyDescent="0.3">
      <c r="B42" s="9"/>
      <c r="C42" s="9"/>
    </row>
    <row r="43" spans="2:3" x14ac:dyDescent="0.3">
      <c r="B43" s="9"/>
      <c r="C43" s="9"/>
    </row>
    <row r="44" spans="2:3" x14ac:dyDescent="0.3">
      <c r="B44" s="9"/>
      <c r="C44" s="9"/>
    </row>
    <row r="45" spans="2:3" x14ac:dyDescent="0.3">
      <c r="B45" s="9"/>
      <c r="C45" s="9"/>
    </row>
    <row r="46" spans="2:3" x14ac:dyDescent="0.3">
      <c r="B46" s="9"/>
      <c r="C46" s="9"/>
    </row>
    <row r="47" spans="2:3" x14ac:dyDescent="0.3">
      <c r="B47" s="9"/>
      <c r="C47" s="9"/>
    </row>
    <row r="48" spans="2:3" x14ac:dyDescent="0.3">
      <c r="B48" s="9"/>
      <c r="C48" s="9"/>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30:E194">
    <cfRule type="cellIs" dxfId="23" priority="24" operator="equal">
      <formula>"JA"</formula>
    </cfRule>
  </conditionalFormatting>
  <conditionalFormatting sqref="E30:E352">
    <cfRule type="cellIs" dxfId="22" priority="23" operator="equal">
      <formula>"Nei"</formula>
    </cfRule>
  </conditionalFormatting>
  <conditionalFormatting sqref="D25:D27">
    <cfRule type="expression" dxfId="21" priority="3">
      <formula>$D$23=d_nei</formula>
    </cfRule>
  </conditionalFormatting>
  <conditionalFormatting sqref="D16:D17 D19:D23 D25:D27 D13">
    <cfRule type="expression" dxfId="20" priority="2">
      <formula>$D$12=d_nei</formula>
    </cfRule>
  </conditionalFormatting>
  <conditionalFormatting sqref="D13">
    <cfRule type="expression" dxfId="19" priority="1">
      <formula>$D$23=d_nei</formula>
    </cfRule>
  </conditionalFormatting>
  <dataValidations count="12">
    <dataValidation type="list" allowBlank="1" showInputMessage="1" sqref="D6">
      <formula1>"Internet Explorer, Chrome, Firefox, Safari,Opera,Anna"</formula1>
    </dataValidation>
    <dataValidation allowBlank="1" showInputMessage="1" showErrorMessage="1" errorTitle="Spørsmål 2.4" error="Svar Ja eller Nei" sqref="D11 D17"/>
    <dataValidation allowBlank="1" showInputMessage="1" showErrorMessage="1" errorTitle="Spørsmål 2.7" error="Svar Ja eller Nei" sqref="D28"/>
    <dataValidation type="list" allowBlank="1" showInputMessage="1" showErrorMessage="1" errorTitle="Spørsmål 2.7" error="Svar Ja eller Nei" sqref="D18 D24">
      <formula1>"Ja,Nei"</formula1>
    </dataValidation>
    <dataValidation type="custom" allowBlank="1" showInputMessage="1" showErrorMessage="1" errorTitle="Skal ikkje fyllast ut" error="Skal ikkje fyllast ut" sqref="D22">
      <formula1>D22=""</formula1>
    </dataValidation>
    <dataValidation type="whole" allowBlank="1" showInputMessage="1" showErrorMessage="1" errorTitle="Spørsmål" error="Svar i heiltall" sqref="D20:D21">
      <formula1>0</formula1>
      <formula2>1000000000</formula2>
    </dataValidation>
    <dataValidation type="custom" allowBlank="1" showInputMessage="1" showErrorMessage="1" errorTitle="Spørsmål" error="Skal ikkje fyllast ut" sqref="D23">
      <formula1>$D$23=""</formula1>
    </dataValidation>
    <dataValidation type="custom" allowBlank="1" showInputMessage="1" showErrorMessage="1" errorTitle="Spørsmål" error="Skal ikkje fylles ut" sqref="D19">
      <formula1>D19&lt;&gt;""</formula1>
    </dataValidation>
    <dataValidation type="custom" showInputMessage="1" showErrorMessage="1" errorTitle="Skal ikke fylles ut" error="Skal ikke fylles ut" sqref="D10">
      <formula1>D10=""</formula1>
    </dataValidation>
    <dataValidation type="custom" showInputMessage="1" showErrorMessage="1" errorTitle="Skal ikkje fyllast ut" error="Skal ikkje fyllast ut" sqref="D25:D26 D13">
      <formula1>""</formula1>
    </dataValidation>
    <dataValidation type="custom" showInputMessage="1" showErrorMessage="1" error="Det er ikkje tillate å endre denne cella" sqref="C3:C1048576 A1:B1048576 C1 E1 E3:E1048576">
      <formula1>"&lt;&gt;"""""</formula1>
    </dataValidation>
    <dataValidation type="custom" showInputMessage="1" showErrorMessage="1" error="Det er ikkje tillate å endre denne cella" sqref="C2 E2">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7620</xdr:colOff>
                    <xdr:row>28</xdr:row>
                    <xdr:rowOff>7620</xdr:rowOff>
                  </from>
                  <to>
                    <xdr:col>5</xdr:col>
                    <xdr:colOff>0</xdr:colOff>
                    <xdr:row>29</xdr:row>
                    <xdr:rowOff>0</xdr:rowOff>
                  </to>
                </anchor>
              </controlPr>
            </control>
          </mc:Choice>
        </mc:AlternateContent>
        <mc:AlternateContent xmlns:mc="http://schemas.openxmlformats.org/markup-compatibility/2006">
          <mc:Choice Requires="x14">
            <control shapeId="2052" r:id="rId8" name="Avmerkingsboks">
              <controlPr defaultSize="0" autoFill="0" autoLine="0" autoPict="0">
                <anchor moveWithCells="1">
                  <from>
                    <xdr:col>2</xdr:col>
                    <xdr:colOff>2560320</xdr:colOff>
                    <xdr:row>13</xdr:row>
                    <xdr:rowOff>68580</xdr:rowOff>
                  </from>
                  <to>
                    <xdr:col>4</xdr:col>
                    <xdr:colOff>655320</xdr:colOff>
                    <xdr:row>13</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Spørsmål" error="Svar Ja eller Nei">
          <x14:formula1>
            <xm:f>Logikk!$E$3:$E$4</xm:f>
          </x14:formula1>
          <xm:sqref>D12</xm:sqref>
        </x14:dataValidation>
        <x14:dataValidation type="list" allowBlank="1" showInputMessage="1" showErrorMessage="1">
          <x14:formula1>
            <xm:f>Logikk!$B$29:$B$36</xm:f>
          </x14:formula1>
          <xm:sqref>B100:B272</xm:sqref>
        </x14:dataValidation>
        <x14:dataValidation type="list" allowBlank="1" showInputMessage="1" showErrorMessage="1" errorTitle="Spørsmål" error="Velg et alternativ i lista">
          <x14:formula1>
            <xm:f>Logikk!$D$3:$D$5</xm:f>
          </x14:formula1>
          <xm:sqref>D16</xm:sqref>
        </x14:dataValidation>
        <x14:dataValidation type="list" allowBlank="1" showInputMessage="1" showErrorMessage="1" errorTitle="Spørsmål 2.7" error="Svar Ja eller Nei">
          <x14:formula1>
            <xm:f>Logikk!$E$3:$E$4</xm:f>
          </x14:formula1>
          <xm:sqref>D27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N144"/>
  <sheetViews>
    <sheetView showGridLines="0" zoomScaleNormal="100" workbookViewId="0"/>
  </sheetViews>
  <sheetFormatPr baseColWidth="10" defaultColWidth="11.5546875" defaultRowHeight="14.4" outlineLevelRow="1" x14ac:dyDescent="0.3"/>
  <cols>
    <col min="1" max="1" width="15" style="96" customWidth="1"/>
    <col min="2" max="2" width="23.6640625" style="9" customWidth="1"/>
    <col min="3" max="3" width="37.44140625" style="9" customWidth="1"/>
    <col min="4" max="4" width="14.109375" style="9" customWidth="1"/>
    <col min="5" max="5" width="50.5546875" style="9" customWidth="1"/>
    <col min="6" max="6" width="50.5546875" style="96" customWidth="1"/>
    <col min="7" max="7" width="18" style="9" customWidth="1"/>
    <col min="8" max="14" width="10.109375" style="97" customWidth="1"/>
    <col min="15" max="16384" width="11.5546875" style="9"/>
  </cols>
  <sheetData>
    <row r="1" spans="1:14" s="1" customFormat="1" ht="30" customHeight="1" x14ac:dyDescent="0.3">
      <c r="A1" s="35" t="str">
        <f>Registering!A1</f>
        <v>2.3.1 a Nettsida har ikkje innhald som glimtar</v>
      </c>
      <c r="B1" s="15"/>
      <c r="C1" s="15"/>
      <c r="D1" s="15"/>
      <c r="E1" s="15"/>
      <c r="F1" s="15"/>
      <c r="G1" s="15"/>
      <c r="H1" s="15"/>
      <c r="I1" s="15"/>
      <c r="J1" s="15"/>
      <c r="K1" s="15"/>
      <c r="L1" s="15"/>
      <c r="M1" s="15"/>
      <c r="N1" s="15"/>
    </row>
    <row r="2" spans="1:14" s="1" customFormat="1" hidden="1" outlineLevel="1" x14ac:dyDescent="0.3">
      <c r="A2" s="45" t="str">
        <f>Registering!A2</f>
        <v>SK:</v>
      </c>
      <c r="B2" s="46" t="str">
        <f>Registering!B2</f>
        <v>2.3.1 Terskelverdi på maksimalt tre glimt:
Websider har ikke innhold som glimter mer enn tre ganger i løpet av ett sekund, eller glimt er innenfor terskelverdiene for generelle glimt og røde glimt. (Nivå A)</v>
      </c>
      <c r="C2" s="46"/>
      <c r="D2" s="46"/>
      <c r="E2" s="46"/>
      <c r="F2" s="45"/>
      <c r="G2" s="46"/>
      <c r="H2" s="47"/>
      <c r="I2" s="47"/>
      <c r="J2" s="47"/>
      <c r="K2" s="47"/>
      <c r="L2" s="47"/>
      <c r="M2" s="47"/>
      <c r="N2" s="47"/>
    </row>
    <row r="3" spans="1:14" s="1" customFormat="1" ht="30" customHeight="1" collapsed="1" x14ac:dyDescent="0.3">
      <c r="A3" s="29" t="s">
        <v>35</v>
      </c>
      <c r="B3" s="16"/>
      <c r="C3" s="16"/>
      <c r="D3" s="16"/>
      <c r="E3" s="16"/>
      <c r="F3" s="27"/>
      <c r="G3" s="16"/>
      <c r="H3" s="30"/>
      <c r="I3" s="30"/>
      <c r="J3" s="30"/>
      <c r="K3" s="30"/>
      <c r="L3" s="30"/>
      <c r="M3" s="30"/>
      <c r="N3" s="30"/>
    </row>
    <row r="4" spans="1:14" s="1" customFormat="1" x14ac:dyDescent="0.3">
      <c r="A4" s="31" t="s">
        <v>36</v>
      </c>
      <c r="B4" s="20"/>
      <c r="C4" s="21"/>
      <c r="D4" s="21"/>
      <c r="E4" s="16"/>
      <c r="F4" s="16"/>
      <c r="G4" s="16"/>
      <c r="H4" s="30"/>
      <c r="I4" s="30"/>
      <c r="J4" s="30"/>
      <c r="K4" s="30"/>
      <c r="L4" s="30"/>
      <c r="M4" s="30"/>
      <c r="N4" s="30"/>
    </row>
    <row r="5" spans="1:14" s="1" customFormat="1" x14ac:dyDescent="0.3">
      <c r="A5" s="21"/>
      <c r="B5" s="20"/>
      <c r="C5" s="18"/>
      <c r="D5" s="21"/>
      <c r="E5" s="16"/>
      <c r="F5" s="16"/>
      <c r="G5" s="16"/>
      <c r="H5" s="30"/>
      <c r="I5" s="30"/>
      <c r="J5" s="30"/>
      <c r="K5" s="30"/>
      <c r="L5" s="30"/>
      <c r="M5" s="30"/>
      <c r="N5" s="30"/>
    </row>
    <row r="6" spans="1:14" s="1" customFormat="1" x14ac:dyDescent="0.3">
      <c r="A6" s="21"/>
      <c r="B6" s="20"/>
      <c r="C6" s="18"/>
      <c r="D6" s="21"/>
      <c r="E6" s="16"/>
      <c r="F6" s="16"/>
      <c r="G6" s="16"/>
      <c r="H6" s="30"/>
      <c r="I6" s="30"/>
      <c r="J6" s="30"/>
      <c r="K6" s="30"/>
      <c r="L6" s="30"/>
      <c r="M6" s="30"/>
      <c r="N6" s="30"/>
    </row>
    <row r="7" spans="1:14" s="1" customFormat="1" x14ac:dyDescent="0.3">
      <c r="A7" s="23"/>
      <c r="B7" s="17"/>
      <c r="C7" s="18"/>
      <c r="D7" s="21"/>
      <c r="E7" s="16"/>
      <c r="F7" s="16"/>
      <c r="G7" s="16"/>
      <c r="H7" s="30"/>
      <c r="I7" s="30"/>
      <c r="J7" s="30"/>
      <c r="K7" s="30"/>
      <c r="L7" s="30"/>
      <c r="M7" s="30"/>
      <c r="N7" s="30"/>
    </row>
    <row r="8" spans="1:14" s="1" customFormat="1" ht="30" customHeight="1" collapsed="1" x14ac:dyDescent="0.3">
      <c r="A8" s="29" t="s">
        <v>37</v>
      </c>
      <c r="B8" s="16"/>
      <c r="C8" s="16"/>
      <c r="D8" s="16"/>
      <c r="E8" s="16"/>
      <c r="F8" s="27"/>
      <c r="G8" s="16"/>
      <c r="H8" s="30"/>
      <c r="I8" s="30"/>
      <c r="J8" s="30"/>
      <c r="K8" s="30"/>
      <c r="L8" s="30"/>
      <c r="M8" s="30"/>
      <c r="N8" s="30"/>
    </row>
    <row r="9" spans="1:14" s="1" customFormat="1" x14ac:dyDescent="0.3">
      <c r="A9" s="31" t="s">
        <v>38</v>
      </c>
      <c r="B9" s="20"/>
      <c r="C9" s="18"/>
      <c r="D9" s="21"/>
      <c r="E9" s="16"/>
      <c r="F9" s="16"/>
      <c r="G9" s="16"/>
      <c r="H9" s="30"/>
      <c r="I9" s="30"/>
      <c r="J9" s="30"/>
      <c r="K9" s="30"/>
      <c r="L9" s="30"/>
      <c r="M9" s="30"/>
      <c r="N9" s="30"/>
    </row>
    <row r="10" spans="1:14" s="1" customFormat="1" x14ac:dyDescent="0.3">
      <c r="A10" s="21"/>
      <c r="B10" s="20" t="s">
        <v>40</v>
      </c>
      <c r="C10" s="18"/>
      <c r="D10" s="21">
        <f>COUNTA(A15:A700)</f>
        <v>0</v>
      </c>
      <c r="E10" s="16"/>
      <c r="F10" s="16"/>
      <c r="G10" s="16"/>
      <c r="H10" s="30"/>
      <c r="I10" s="30"/>
      <c r="J10" s="30"/>
      <c r="K10" s="30"/>
      <c r="L10" s="30"/>
      <c r="M10" s="30"/>
      <c r="N10" s="30"/>
    </row>
    <row r="11" spans="1:14" s="1" customFormat="1" x14ac:dyDescent="0.3">
      <c r="A11" s="21"/>
      <c r="B11" s="22" t="s">
        <v>41</v>
      </c>
      <c r="C11" s="18"/>
      <c r="D11" s="21">
        <f>COUNTIF(D15:D700,"NEI")</f>
        <v>0</v>
      </c>
      <c r="E11" s="16"/>
      <c r="F11" s="16"/>
      <c r="G11" s="16"/>
      <c r="H11" s="30"/>
      <c r="I11" s="30"/>
      <c r="J11" s="30"/>
      <c r="K11" s="30"/>
      <c r="L11" s="30"/>
      <c r="M11" s="30"/>
      <c r="N11" s="30"/>
    </row>
    <row r="12" spans="1:14" s="1" customFormat="1" x14ac:dyDescent="0.3">
      <c r="A12" s="21"/>
      <c r="B12" s="22" t="s">
        <v>42</v>
      </c>
      <c r="C12" s="18"/>
      <c r="D12" s="21">
        <f>COUNTIF(D$15:D700,"JA")</f>
        <v>0</v>
      </c>
      <c r="E12" s="16"/>
      <c r="F12" s="16"/>
      <c r="G12" s="16"/>
      <c r="H12" s="30"/>
      <c r="I12" s="30"/>
      <c r="J12" s="30"/>
      <c r="K12" s="30"/>
      <c r="L12" s="30"/>
      <c r="M12" s="30"/>
      <c r="N12" s="30"/>
    </row>
    <row r="13" spans="1:14" s="1" customFormat="1" ht="30" customHeight="1" collapsed="1" x14ac:dyDescent="0.3">
      <c r="A13" s="29" t="s">
        <v>39</v>
      </c>
      <c r="B13" s="16"/>
      <c r="C13" s="16"/>
      <c r="D13" s="16"/>
      <c r="E13" s="16"/>
      <c r="F13" s="27"/>
      <c r="G13" s="16"/>
      <c r="H13" s="30"/>
      <c r="I13" s="30"/>
      <c r="J13" s="30"/>
      <c r="K13" s="30"/>
      <c r="L13" s="30"/>
      <c r="M13" s="30"/>
      <c r="N13" s="30"/>
    </row>
    <row r="14" spans="1:14" ht="39" customHeight="1" x14ac:dyDescent="0.3">
      <c r="A14" s="32" t="s">
        <v>0</v>
      </c>
      <c r="B14" s="91" t="s">
        <v>15</v>
      </c>
      <c r="C14" s="91" t="s">
        <v>80</v>
      </c>
      <c r="D14" s="32" t="s">
        <v>110</v>
      </c>
      <c r="E14" s="91" t="s">
        <v>101</v>
      </c>
      <c r="F14" s="91" t="s">
        <v>4</v>
      </c>
      <c r="G14" s="32" t="s">
        <v>8</v>
      </c>
      <c r="H14" s="33" t="s">
        <v>55</v>
      </c>
      <c r="I14" s="33" t="s">
        <v>49</v>
      </c>
      <c r="J14" s="33" t="s">
        <v>23</v>
      </c>
      <c r="K14" s="33" t="s">
        <v>34</v>
      </c>
      <c r="L14" s="33" t="s">
        <v>24</v>
      </c>
      <c r="M14" s="33" t="s">
        <v>25</v>
      </c>
      <c r="N14" s="33" t="s">
        <v>73</v>
      </c>
    </row>
    <row r="15" spans="1:14" x14ac:dyDescent="0.3">
      <c r="A15" s="92"/>
      <c r="B15" s="19"/>
      <c r="C15" s="19"/>
      <c r="D15" s="53"/>
      <c r="E15" s="19"/>
      <c r="F15" s="93"/>
      <c r="G15" s="34"/>
      <c r="H15" s="53"/>
      <c r="I15" s="53"/>
      <c r="J15" s="53"/>
      <c r="K15" s="53"/>
      <c r="L15" s="94"/>
      <c r="M15" s="53"/>
      <c r="N15" s="53"/>
    </row>
    <row r="16" spans="1:14" x14ac:dyDescent="0.3">
      <c r="A16" s="92"/>
      <c r="B16" s="19"/>
      <c r="C16" s="19"/>
      <c r="D16" s="53"/>
      <c r="E16" s="19"/>
      <c r="F16" s="93"/>
      <c r="G16" s="34"/>
      <c r="H16" s="53"/>
      <c r="I16" s="54"/>
      <c r="J16" s="53"/>
      <c r="K16" s="53"/>
      <c r="L16" s="94"/>
      <c r="M16" s="53"/>
      <c r="N16" s="53"/>
    </row>
    <row r="17" spans="1:14" x14ac:dyDescent="0.3">
      <c r="A17" s="92"/>
      <c r="B17" s="19"/>
      <c r="C17" s="19"/>
      <c r="D17" s="53"/>
      <c r="E17" s="19"/>
      <c r="F17" s="93"/>
      <c r="G17" s="34"/>
      <c r="H17" s="53"/>
      <c r="I17" s="53"/>
      <c r="J17" s="53"/>
      <c r="K17" s="53"/>
      <c r="L17" s="94"/>
      <c r="M17" s="53"/>
      <c r="N17" s="53"/>
    </row>
    <row r="18" spans="1:14" x14ac:dyDescent="0.3">
      <c r="A18" s="92"/>
      <c r="B18" s="19"/>
      <c r="C18" s="19"/>
      <c r="D18" s="53"/>
      <c r="E18" s="19"/>
      <c r="F18" s="93"/>
      <c r="G18" s="34"/>
      <c r="H18" s="53"/>
      <c r="I18" s="53"/>
      <c r="J18" s="53"/>
      <c r="K18" s="53"/>
      <c r="L18" s="94"/>
      <c r="M18" s="53"/>
      <c r="N18" s="53"/>
    </row>
    <row r="19" spans="1:14" x14ac:dyDescent="0.3">
      <c r="A19" s="92"/>
      <c r="B19" s="19"/>
      <c r="C19" s="19"/>
      <c r="D19" s="53"/>
      <c r="E19" s="19"/>
      <c r="F19" s="93"/>
      <c r="G19" s="93"/>
      <c r="H19" s="53"/>
      <c r="I19" s="53"/>
      <c r="J19" s="53"/>
      <c r="K19" s="53"/>
      <c r="L19" s="94"/>
      <c r="M19" s="53"/>
      <c r="N19" s="53"/>
    </row>
    <row r="20" spans="1:14" x14ac:dyDescent="0.3">
      <c r="A20" s="95"/>
      <c r="B20" s="19"/>
      <c r="C20" s="19"/>
      <c r="D20" s="53"/>
      <c r="E20" s="19"/>
      <c r="F20" s="93"/>
      <c r="G20" s="93"/>
      <c r="H20" s="53"/>
      <c r="I20" s="53"/>
      <c r="J20" s="53"/>
      <c r="K20" s="53"/>
      <c r="L20" s="94"/>
      <c r="M20" s="53"/>
      <c r="N20" s="53"/>
    </row>
    <row r="21" spans="1:14" x14ac:dyDescent="0.3">
      <c r="A21" s="95"/>
      <c r="B21" s="19"/>
      <c r="C21" s="19"/>
      <c r="D21" s="53"/>
      <c r="E21" s="19"/>
      <c r="F21" s="93"/>
      <c r="G21" s="93"/>
      <c r="H21" s="53"/>
      <c r="I21" s="53"/>
      <c r="J21" s="53"/>
      <c r="K21" s="53"/>
      <c r="L21" s="94"/>
      <c r="M21" s="53"/>
      <c r="N21" s="53"/>
    </row>
    <row r="22" spans="1:14" x14ac:dyDescent="0.3">
      <c r="A22" s="95"/>
      <c r="B22" s="19"/>
      <c r="C22" s="19"/>
      <c r="D22" s="53"/>
      <c r="E22" s="19"/>
      <c r="F22" s="93"/>
      <c r="G22" s="93"/>
      <c r="H22" s="53"/>
      <c r="I22" s="53"/>
      <c r="J22" s="53"/>
      <c r="K22" s="53"/>
      <c r="L22" s="94"/>
      <c r="M22" s="53"/>
      <c r="N22" s="53"/>
    </row>
    <row r="23" spans="1:14" x14ac:dyDescent="0.3">
      <c r="A23" s="95"/>
      <c r="B23" s="19"/>
      <c r="C23" s="19"/>
      <c r="D23" s="53"/>
      <c r="E23" s="19"/>
      <c r="F23" s="93"/>
      <c r="G23" s="93"/>
      <c r="H23" s="53"/>
      <c r="I23" s="53"/>
      <c r="J23" s="53"/>
      <c r="K23" s="53"/>
      <c r="L23" s="94"/>
      <c r="M23" s="53"/>
      <c r="N23" s="53"/>
    </row>
    <row r="24" spans="1:14" x14ac:dyDescent="0.3">
      <c r="A24" s="95"/>
      <c r="B24" s="19"/>
      <c r="C24" s="19"/>
      <c r="D24" s="53"/>
      <c r="E24" s="19"/>
      <c r="F24" s="93"/>
      <c r="G24" s="93"/>
      <c r="H24" s="53"/>
      <c r="I24" s="53"/>
      <c r="J24" s="53"/>
      <c r="K24" s="53"/>
      <c r="L24" s="94"/>
      <c r="M24" s="53"/>
      <c r="N24" s="53"/>
    </row>
    <row r="25" spans="1:14" x14ac:dyDescent="0.3">
      <c r="A25" s="95"/>
      <c r="B25" s="19"/>
      <c r="C25" s="19"/>
      <c r="D25" s="53"/>
      <c r="E25" s="19"/>
      <c r="F25" s="34"/>
      <c r="G25" s="93"/>
      <c r="H25" s="53"/>
      <c r="I25" s="53"/>
      <c r="J25" s="53"/>
      <c r="K25" s="53"/>
      <c r="L25" s="94"/>
      <c r="M25" s="53"/>
      <c r="N25" s="53"/>
    </row>
    <row r="26" spans="1:14" x14ac:dyDescent="0.3">
      <c r="A26" s="95"/>
      <c r="B26" s="19"/>
      <c r="C26" s="19"/>
      <c r="D26" s="53"/>
      <c r="E26" s="19"/>
      <c r="F26" s="34"/>
      <c r="G26" s="93"/>
      <c r="H26" s="53"/>
      <c r="I26" s="53"/>
      <c r="J26" s="53"/>
      <c r="K26" s="53"/>
      <c r="L26" s="94"/>
      <c r="M26" s="53"/>
      <c r="N26" s="53"/>
    </row>
    <row r="27" spans="1:14" x14ac:dyDescent="0.3">
      <c r="A27" s="95"/>
      <c r="B27" s="19"/>
      <c r="C27" s="19"/>
      <c r="D27" s="53"/>
      <c r="E27" s="19"/>
      <c r="F27" s="34"/>
      <c r="G27" s="93"/>
      <c r="H27" s="53"/>
      <c r="I27" s="53"/>
      <c r="J27" s="53"/>
      <c r="K27" s="53"/>
      <c r="L27" s="94"/>
      <c r="M27" s="53"/>
      <c r="N27" s="53"/>
    </row>
    <row r="28" spans="1:14" x14ac:dyDescent="0.3">
      <c r="A28" s="95"/>
      <c r="B28" s="19"/>
      <c r="C28" s="19"/>
      <c r="D28" s="53"/>
      <c r="E28" s="19"/>
      <c r="F28" s="34"/>
      <c r="G28" s="93"/>
      <c r="H28" s="53"/>
      <c r="I28" s="53"/>
      <c r="J28" s="53"/>
      <c r="K28" s="53"/>
      <c r="L28" s="94"/>
      <c r="M28" s="53"/>
      <c r="N28" s="53"/>
    </row>
    <row r="29" spans="1:14" x14ac:dyDescent="0.3">
      <c r="A29" s="95"/>
      <c r="B29" s="19"/>
      <c r="C29" s="19"/>
      <c r="D29" s="53"/>
      <c r="E29" s="19"/>
      <c r="F29" s="34"/>
      <c r="G29" s="93"/>
      <c r="H29" s="53"/>
      <c r="I29" s="53"/>
      <c r="J29" s="53"/>
      <c r="K29" s="53"/>
      <c r="L29" s="94"/>
      <c r="M29" s="53"/>
      <c r="N29" s="53"/>
    </row>
    <row r="30" spans="1:14" x14ac:dyDescent="0.3">
      <c r="A30" s="95"/>
      <c r="B30" s="19"/>
      <c r="C30" s="19"/>
      <c r="D30" s="53"/>
      <c r="E30" s="19"/>
      <c r="F30" s="34"/>
      <c r="G30" s="93"/>
      <c r="H30" s="53"/>
      <c r="I30" s="53"/>
      <c r="J30" s="53"/>
      <c r="K30" s="53"/>
      <c r="L30" s="94"/>
      <c r="M30" s="53"/>
      <c r="N30" s="53"/>
    </row>
    <row r="31" spans="1:14" x14ac:dyDescent="0.3">
      <c r="A31" s="95"/>
      <c r="B31" s="19"/>
      <c r="C31" s="19"/>
      <c r="D31" s="53"/>
      <c r="E31" s="19"/>
      <c r="F31" s="34"/>
      <c r="G31" s="93"/>
      <c r="H31" s="53"/>
      <c r="I31" s="53"/>
      <c r="J31" s="53"/>
      <c r="K31" s="53"/>
      <c r="L31" s="94"/>
      <c r="M31" s="53"/>
      <c r="N31" s="53"/>
    </row>
    <row r="32" spans="1:14" x14ac:dyDescent="0.3">
      <c r="A32" s="95"/>
      <c r="B32" s="19"/>
      <c r="C32" s="19"/>
      <c r="D32" s="53"/>
      <c r="E32" s="19"/>
      <c r="F32" s="34"/>
      <c r="G32" s="93"/>
      <c r="H32" s="53"/>
      <c r="I32" s="53"/>
      <c r="J32" s="53"/>
      <c r="K32" s="53"/>
      <c r="L32" s="94"/>
      <c r="M32" s="53"/>
      <c r="N32" s="53"/>
    </row>
    <row r="33" spans="1:14" x14ac:dyDescent="0.3">
      <c r="A33" s="95"/>
      <c r="B33" s="19"/>
      <c r="C33" s="19"/>
      <c r="D33" s="53"/>
      <c r="E33" s="19"/>
      <c r="F33" s="34"/>
      <c r="G33" s="93"/>
      <c r="H33" s="53"/>
      <c r="I33" s="53"/>
      <c r="J33" s="53"/>
      <c r="K33" s="53"/>
      <c r="L33" s="94"/>
      <c r="M33" s="53"/>
      <c r="N33" s="53"/>
    </row>
    <row r="34" spans="1:14" x14ac:dyDescent="0.3">
      <c r="A34" s="95"/>
      <c r="B34" s="19"/>
      <c r="C34" s="19"/>
      <c r="D34" s="53"/>
      <c r="E34" s="19"/>
      <c r="F34" s="34"/>
      <c r="G34" s="93"/>
      <c r="H34" s="53"/>
      <c r="I34" s="53"/>
      <c r="J34" s="53"/>
      <c r="K34" s="53"/>
      <c r="L34" s="94"/>
      <c r="M34" s="53"/>
      <c r="N34" s="53"/>
    </row>
    <row r="35" spans="1:14" x14ac:dyDescent="0.3">
      <c r="A35" s="95"/>
      <c r="B35" s="19"/>
      <c r="C35" s="19"/>
      <c r="D35" s="53"/>
      <c r="E35" s="19"/>
      <c r="F35" s="34"/>
      <c r="G35" s="93"/>
      <c r="H35" s="53"/>
      <c r="I35" s="53"/>
      <c r="J35" s="53"/>
      <c r="K35" s="53"/>
      <c r="L35" s="94"/>
      <c r="M35" s="53"/>
      <c r="N35" s="53"/>
    </row>
    <row r="36" spans="1:14" x14ac:dyDescent="0.3">
      <c r="A36" s="95"/>
      <c r="B36" s="19"/>
      <c r="C36" s="19"/>
      <c r="D36" s="53"/>
      <c r="E36" s="19"/>
      <c r="F36" s="34"/>
      <c r="G36" s="93"/>
      <c r="H36" s="53"/>
      <c r="I36" s="53"/>
      <c r="J36" s="53"/>
      <c r="K36" s="53"/>
      <c r="L36" s="94"/>
      <c r="M36" s="53"/>
      <c r="N36" s="53"/>
    </row>
    <row r="37" spans="1:14" x14ac:dyDescent="0.3">
      <c r="A37" s="95"/>
      <c r="B37" s="19"/>
      <c r="C37" s="19"/>
      <c r="D37" s="53"/>
      <c r="E37" s="19"/>
      <c r="F37" s="34"/>
      <c r="G37" s="93"/>
      <c r="H37" s="53"/>
      <c r="I37" s="53"/>
      <c r="J37" s="53"/>
      <c r="K37" s="53"/>
      <c r="L37" s="94"/>
      <c r="M37" s="53"/>
      <c r="N37" s="53"/>
    </row>
    <row r="38" spans="1:14" x14ac:dyDescent="0.3">
      <c r="A38" s="95"/>
      <c r="B38" s="19"/>
      <c r="C38" s="19"/>
      <c r="D38" s="53"/>
      <c r="E38" s="19"/>
      <c r="F38" s="34"/>
      <c r="G38" s="93"/>
      <c r="H38" s="53"/>
      <c r="I38" s="53"/>
      <c r="J38" s="53"/>
      <c r="K38" s="53"/>
      <c r="L38" s="94"/>
      <c r="M38" s="53"/>
      <c r="N38" s="53"/>
    </row>
    <row r="39" spans="1:14" x14ac:dyDescent="0.3">
      <c r="A39" s="95"/>
      <c r="B39" s="19"/>
      <c r="C39" s="19"/>
      <c r="D39" s="53"/>
      <c r="E39" s="19"/>
      <c r="F39" s="34"/>
      <c r="G39" s="93"/>
      <c r="H39" s="53"/>
      <c r="I39" s="53"/>
      <c r="J39" s="53"/>
      <c r="K39" s="53"/>
      <c r="L39" s="94"/>
      <c r="M39" s="53"/>
      <c r="N39" s="53"/>
    </row>
    <row r="40" spans="1:14" x14ac:dyDescent="0.3">
      <c r="A40" s="95"/>
      <c r="B40" s="19"/>
      <c r="C40" s="19"/>
      <c r="D40" s="53"/>
      <c r="E40" s="19"/>
      <c r="F40" s="34"/>
      <c r="G40" s="93"/>
      <c r="H40" s="53"/>
      <c r="I40" s="53"/>
      <c r="J40" s="53"/>
      <c r="K40" s="53"/>
      <c r="L40" s="94"/>
      <c r="M40" s="53"/>
      <c r="N40" s="53"/>
    </row>
    <row r="41" spans="1:14" x14ac:dyDescent="0.3">
      <c r="A41" s="95"/>
      <c r="B41" s="19"/>
      <c r="C41" s="19"/>
      <c r="D41" s="53"/>
      <c r="E41" s="19"/>
      <c r="F41" s="34"/>
      <c r="G41" s="93"/>
      <c r="H41" s="53"/>
      <c r="I41" s="53"/>
      <c r="J41" s="53"/>
      <c r="K41" s="53"/>
      <c r="L41" s="94"/>
      <c r="M41" s="53"/>
      <c r="N41" s="53"/>
    </row>
    <row r="42" spans="1:14" x14ac:dyDescent="0.3">
      <c r="A42" s="95"/>
      <c r="B42" s="19"/>
      <c r="C42" s="19"/>
      <c r="D42" s="53"/>
      <c r="E42" s="19"/>
      <c r="F42" s="34"/>
      <c r="G42" s="93"/>
      <c r="H42" s="53"/>
      <c r="I42" s="53"/>
      <c r="J42" s="53"/>
      <c r="K42" s="53"/>
      <c r="L42" s="94"/>
      <c r="M42" s="53"/>
      <c r="N42" s="53"/>
    </row>
    <row r="43" spans="1:14" x14ac:dyDescent="0.3">
      <c r="A43" s="95"/>
      <c r="B43" s="19"/>
      <c r="C43" s="19"/>
      <c r="D43" s="53"/>
      <c r="E43" s="19"/>
      <c r="F43" s="34"/>
      <c r="G43" s="93"/>
      <c r="H43" s="53"/>
      <c r="I43" s="53"/>
      <c r="J43" s="53"/>
      <c r="K43" s="53"/>
      <c r="L43" s="94"/>
      <c r="M43" s="53"/>
      <c r="N43" s="53"/>
    </row>
    <row r="44" spans="1:14" x14ac:dyDescent="0.3">
      <c r="A44" s="95"/>
      <c r="B44" s="19"/>
      <c r="C44" s="19"/>
      <c r="D44" s="53"/>
      <c r="E44" s="19"/>
      <c r="F44" s="34"/>
      <c r="G44" s="93"/>
      <c r="H44" s="53"/>
      <c r="I44" s="53"/>
      <c r="J44" s="53"/>
      <c r="K44" s="53"/>
      <c r="L44" s="94"/>
      <c r="M44" s="53"/>
      <c r="N44" s="53"/>
    </row>
    <row r="45" spans="1:14" x14ac:dyDescent="0.3">
      <c r="A45" s="95"/>
      <c r="B45" s="19"/>
      <c r="C45" s="19"/>
      <c r="D45" s="53"/>
      <c r="E45" s="19"/>
      <c r="F45" s="34"/>
      <c r="G45" s="93"/>
      <c r="H45" s="53"/>
      <c r="I45" s="53"/>
      <c r="J45" s="53"/>
      <c r="K45" s="53"/>
      <c r="L45" s="94"/>
      <c r="M45" s="53"/>
      <c r="N45" s="53"/>
    </row>
    <row r="46" spans="1:14" x14ac:dyDescent="0.3">
      <c r="A46" s="95"/>
      <c r="B46" s="19"/>
      <c r="C46" s="19"/>
      <c r="D46" s="53"/>
      <c r="E46" s="19"/>
      <c r="F46" s="34"/>
      <c r="G46" s="93"/>
      <c r="H46" s="53"/>
      <c r="I46" s="53"/>
      <c r="J46" s="53"/>
      <c r="K46" s="53"/>
      <c r="L46" s="94"/>
      <c r="M46" s="53"/>
      <c r="N46" s="53"/>
    </row>
    <row r="47" spans="1:14" x14ac:dyDescent="0.3">
      <c r="A47" s="95"/>
      <c r="B47" s="19"/>
      <c r="C47" s="19"/>
      <c r="D47" s="53"/>
      <c r="E47" s="19"/>
      <c r="F47" s="34"/>
      <c r="G47" s="93"/>
      <c r="H47" s="53"/>
      <c r="I47" s="53"/>
      <c r="J47" s="53"/>
      <c r="K47" s="53"/>
      <c r="L47" s="94"/>
      <c r="M47" s="53"/>
      <c r="N47" s="53"/>
    </row>
    <row r="48" spans="1:14" x14ac:dyDescent="0.3">
      <c r="A48" s="95"/>
      <c r="B48" s="19"/>
      <c r="C48" s="19"/>
      <c r="D48" s="53"/>
      <c r="E48" s="19"/>
      <c r="F48" s="34"/>
      <c r="G48" s="93"/>
      <c r="H48" s="53"/>
      <c r="I48" s="53"/>
      <c r="J48" s="53"/>
      <c r="K48" s="53"/>
      <c r="L48" s="94"/>
      <c r="M48" s="53"/>
      <c r="N48" s="53"/>
    </row>
    <row r="49" spans="1:14" x14ac:dyDescent="0.3">
      <c r="A49" s="95"/>
      <c r="B49" s="19"/>
      <c r="C49" s="19"/>
      <c r="D49" s="53"/>
      <c r="E49" s="19"/>
      <c r="F49" s="34"/>
      <c r="G49" s="93"/>
      <c r="H49" s="53"/>
      <c r="I49" s="53"/>
      <c r="J49" s="53"/>
      <c r="K49" s="53"/>
      <c r="L49" s="94"/>
      <c r="M49" s="53"/>
      <c r="N49" s="53"/>
    </row>
    <row r="50" spans="1:14" x14ac:dyDescent="0.3">
      <c r="A50" s="95"/>
      <c r="B50" s="19"/>
      <c r="C50" s="19"/>
      <c r="D50" s="53"/>
      <c r="E50" s="19"/>
      <c r="F50" s="34"/>
      <c r="G50" s="93"/>
      <c r="H50" s="53"/>
      <c r="I50" s="53"/>
      <c r="J50" s="53"/>
      <c r="K50" s="53"/>
      <c r="L50" s="94"/>
      <c r="M50" s="53"/>
      <c r="N50" s="53"/>
    </row>
    <row r="51" spans="1:14" x14ac:dyDescent="0.3">
      <c r="A51" s="95"/>
      <c r="B51" s="19"/>
      <c r="C51" s="19"/>
      <c r="D51" s="53"/>
      <c r="E51" s="19"/>
      <c r="F51" s="34"/>
      <c r="G51" s="93"/>
      <c r="H51" s="53"/>
      <c r="I51" s="53"/>
      <c r="J51" s="53"/>
      <c r="K51" s="53"/>
      <c r="L51" s="94"/>
      <c r="M51" s="53"/>
      <c r="N51" s="53"/>
    </row>
    <row r="52" spans="1:14" x14ac:dyDescent="0.3">
      <c r="A52" s="95"/>
      <c r="B52" s="19"/>
      <c r="C52" s="19"/>
      <c r="D52" s="53"/>
      <c r="E52" s="19"/>
      <c r="F52" s="34"/>
      <c r="G52" s="93"/>
      <c r="H52" s="53"/>
      <c r="I52" s="53"/>
      <c r="J52" s="53"/>
      <c r="K52" s="53"/>
      <c r="L52" s="94"/>
      <c r="M52" s="53"/>
      <c r="N52" s="53"/>
    </row>
    <row r="53" spans="1:14" x14ac:dyDescent="0.3">
      <c r="A53" s="95"/>
      <c r="B53" s="19"/>
      <c r="C53" s="19"/>
      <c r="D53" s="53"/>
      <c r="E53" s="19"/>
      <c r="F53" s="34"/>
      <c r="G53" s="93"/>
      <c r="H53" s="53"/>
      <c r="I53" s="53"/>
      <c r="J53" s="53"/>
      <c r="K53" s="53"/>
      <c r="L53" s="94"/>
      <c r="M53" s="53"/>
      <c r="N53" s="53"/>
    </row>
    <row r="54" spans="1:14" x14ac:dyDescent="0.3">
      <c r="A54" s="95"/>
      <c r="B54" s="19"/>
      <c r="C54" s="19"/>
      <c r="D54" s="53"/>
      <c r="E54" s="19"/>
      <c r="F54" s="34"/>
      <c r="G54" s="93"/>
      <c r="H54" s="53"/>
      <c r="I54" s="53"/>
      <c r="J54" s="53"/>
      <c r="K54" s="53"/>
      <c r="L54" s="94"/>
      <c r="M54" s="53"/>
      <c r="N54" s="53"/>
    </row>
    <row r="55" spans="1:14" x14ac:dyDescent="0.3">
      <c r="A55" s="95"/>
      <c r="B55" s="19"/>
      <c r="C55" s="19"/>
      <c r="D55" s="53"/>
      <c r="E55" s="19"/>
      <c r="F55" s="34"/>
      <c r="G55" s="93"/>
      <c r="H55" s="53"/>
      <c r="I55" s="53"/>
      <c r="J55" s="53"/>
      <c r="K55" s="53"/>
      <c r="L55" s="94"/>
      <c r="M55" s="53"/>
      <c r="N55" s="53"/>
    </row>
    <row r="56" spans="1:14" x14ac:dyDescent="0.3">
      <c r="A56" s="95"/>
      <c r="B56" s="19"/>
      <c r="C56" s="19"/>
      <c r="D56" s="53"/>
      <c r="E56" s="19"/>
      <c r="F56" s="34"/>
      <c r="G56" s="93"/>
      <c r="H56" s="53"/>
      <c r="I56" s="53"/>
      <c r="J56" s="53"/>
      <c r="K56" s="53"/>
      <c r="L56" s="94"/>
      <c r="M56" s="53"/>
      <c r="N56" s="53"/>
    </row>
    <row r="57" spans="1:14" x14ac:dyDescent="0.3">
      <c r="A57" s="95"/>
      <c r="B57" s="19"/>
      <c r="C57" s="19"/>
      <c r="D57" s="53"/>
      <c r="E57" s="19"/>
      <c r="F57" s="34"/>
      <c r="G57" s="93"/>
      <c r="H57" s="53"/>
      <c r="I57" s="53"/>
      <c r="J57" s="53"/>
      <c r="K57" s="53"/>
      <c r="L57" s="94"/>
      <c r="M57" s="53"/>
      <c r="N57" s="53"/>
    </row>
    <row r="58" spans="1:14" x14ac:dyDescent="0.3">
      <c r="A58" s="95"/>
      <c r="B58" s="19"/>
      <c r="C58" s="19"/>
      <c r="D58" s="53"/>
      <c r="E58" s="19"/>
      <c r="F58" s="34"/>
      <c r="G58" s="93"/>
      <c r="H58" s="53"/>
      <c r="I58" s="53"/>
      <c r="J58" s="53"/>
      <c r="K58" s="53"/>
      <c r="L58" s="94"/>
      <c r="M58" s="53"/>
      <c r="N58" s="53"/>
    </row>
    <row r="59" spans="1:14" x14ac:dyDescent="0.3">
      <c r="A59" s="95"/>
      <c r="B59" s="19"/>
      <c r="C59" s="19"/>
      <c r="D59" s="53"/>
      <c r="E59" s="19"/>
      <c r="F59" s="34"/>
      <c r="G59" s="93"/>
      <c r="H59" s="53"/>
      <c r="I59" s="53"/>
      <c r="J59" s="53"/>
      <c r="K59" s="53"/>
      <c r="L59" s="94"/>
      <c r="M59" s="53"/>
      <c r="N59" s="53"/>
    </row>
    <row r="60" spans="1:14" x14ac:dyDescent="0.3">
      <c r="A60" s="95"/>
      <c r="B60" s="19"/>
      <c r="C60" s="19"/>
      <c r="D60" s="53"/>
      <c r="E60" s="19"/>
      <c r="F60" s="34"/>
      <c r="G60" s="93"/>
      <c r="H60" s="53"/>
      <c r="I60" s="53"/>
      <c r="J60" s="53"/>
      <c r="K60" s="53"/>
      <c r="L60" s="94"/>
      <c r="M60" s="53"/>
      <c r="N60" s="53"/>
    </row>
    <row r="61" spans="1:14" x14ac:dyDescent="0.3">
      <c r="A61" s="95"/>
      <c r="B61" s="19"/>
      <c r="C61" s="19"/>
      <c r="D61" s="53"/>
      <c r="E61" s="19"/>
      <c r="F61" s="34"/>
      <c r="G61" s="93"/>
      <c r="H61" s="53"/>
      <c r="I61" s="53"/>
      <c r="J61" s="53"/>
      <c r="K61" s="53"/>
      <c r="L61" s="94"/>
      <c r="M61" s="53"/>
      <c r="N61" s="53"/>
    </row>
    <row r="62" spans="1:14" x14ac:dyDescent="0.3">
      <c r="A62" s="95"/>
      <c r="B62" s="19"/>
      <c r="C62" s="19"/>
      <c r="D62" s="53"/>
      <c r="E62" s="19"/>
      <c r="F62" s="34"/>
      <c r="G62" s="93"/>
      <c r="H62" s="53"/>
      <c r="I62" s="53"/>
      <c r="J62" s="53"/>
      <c r="K62" s="53"/>
      <c r="L62" s="94"/>
      <c r="M62" s="53"/>
      <c r="N62" s="53"/>
    </row>
    <row r="63" spans="1:14" x14ac:dyDescent="0.3">
      <c r="A63" s="95"/>
      <c r="B63" s="19"/>
      <c r="C63" s="19"/>
      <c r="D63" s="53"/>
      <c r="E63" s="19"/>
      <c r="F63" s="34"/>
      <c r="G63" s="93"/>
      <c r="H63" s="53"/>
      <c r="I63" s="53"/>
      <c r="J63" s="53"/>
      <c r="K63" s="53"/>
      <c r="L63" s="94"/>
      <c r="M63" s="53"/>
      <c r="N63" s="53"/>
    </row>
    <row r="64" spans="1:14" x14ac:dyDescent="0.3">
      <c r="A64" s="95"/>
      <c r="B64" s="19"/>
      <c r="C64" s="19"/>
      <c r="D64" s="53"/>
      <c r="E64" s="19"/>
      <c r="F64" s="34"/>
      <c r="G64" s="93"/>
      <c r="H64" s="53"/>
      <c r="I64" s="53"/>
      <c r="J64" s="53"/>
      <c r="K64" s="53"/>
      <c r="L64" s="94"/>
      <c r="M64" s="53"/>
      <c r="N64" s="53"/>
    </row>
    <row r="65" spans="1:14" x14ac:dyDescent="0.3">
      <c r="A65" s="95"/>
      <c r="B65" s="19"/>
      <c r="C65" s="19"/>
      <c r="D65" s="53"/>
      <c r="E65" s="19"/>
      <c r="F65" s="34"/>
      <c r="G65" s="93"/>
      <c r="H65" s="53"/>
      <c r="I65" s="53"/>
      <c r="J65" s="53"/>
      <c r="K65" s="53"/>
      <c r="L65" s="94"/>
      <c r="M65" s="53"/>
      <c r="N65" s="53"/>
    </row>
    <row r="66" spans="1:14" x14ac:dyDescent="0.3">
      <c r="A66" s="95"/>
      <c r="B66" s="19"/>
      <c r="C66" s="19"/>
      <c r="D66" s="53"/>
      <c r="E66" s="19"/>
      <c r="F66" s="34"/>
      <c r="G66" s="93"/>
      <c r="H66" s="53"/>
      <c r="I66" s="53"/>
      <c r="J66" s="53"/>
      <c r="K66" s="53"/>
      <c r="L66" s="94"/>
      <c r="M66" s="53"/>
      <c r="N66" s="53"/>
    </row>
    <row r="67" spans="1:14" x14ac:dyDescent="0.3">
      <c r="A67" s="95"/>
      <c r="B67" s="19"/>
      <c r="C67" s="19"/>
      <c r="D67" s="53"/>
      <c r="E67" s="19"/>
      <c r="F67" s="34"/>
      <c r="G67" s="93"/>
      <c r="H67" s="53"/>
      <c r="I67" s="53"/>
      <c r="J67" s="53"/>
      <c r="K67" s="53"/>
      <c r="L67" s="94"/>
      <c r="M67" s="53"/>
      <c r="N67" s="53"/>
    </row>
    <row r="68" spans="1:14" x14ac:dyDescent="0.3">
      <c r="A68" s="95"/>
      <c r="B68" s="19"/>
      <c r="C68" s="19"/>
      <c r="D68" s="53"/>
      <c r="E68" s="19"/>
      <c r="F68" s="34"/>
      <c r="G68" s="93"/>
      <c r="H68" s="53"/>
      <c r="I68" s="53"/>
      <c r="J68" s="53"/>
      <c r="K68" s="53"/>
      <c r="L68" s="94"/>
      <c r="M68" s="53"/>
      <c r="N68" s="53"/>
    </row>
    <row r="69" spans="1:14" x14ac:dyDescent="0.3">
      <c r="A69" s="95"/>
      <c r="B69" s="19"/>
      <c r="C69" s="19"/>
      <c r="D69" s="53"/>
      <c r="E69" s="19"/>
      <c r="F69" s="34"/>
      <c r="G69" s="93"/>
      <c r="H69" s="53"/>
      <c r="I69" s="53"/>
      <c r="J69" s="53"/>
      <c r="K69" s="53"/>
      <c r="L69" s="94"/>
      <c r="M69" s="53"/>
      <c r="N69" s="53"/>
    </row>
    <row r="70" spans="1:14" x14ac:dyDescent="0.3">
      <c r="A70" s="95"/>
      <c r="B70" s="19"/>
      <c r="C70" s="19"/>
      <c r="D70" s="53"/>
      <c r="E70" s="19"/>
      <c r="F70" s="34"/>
      <c r="G70" s="93"/>
      <c r="H70" s="53"/>
      <c r="I70" s="53"/>
      <c r="J70" s="53"/>
      <c r="K70" s="53"/>
      <c r="L70" s="94"/>
      <c r="M70" s="53"/>
      <c r="N70" s="53"/>
    </row>
    <row r="71" spans="1:14" x14ac:dyDescent="0.3">
      <c r="A71" s="95"/>
      <c r="B71" s="19"/>
      <c r="C71" s="19"/>
      <c r="D71" s="53"/>
      <c r="E71" s="19"/>
      <c r="F71" s="34"/>
      <c r="G71" s="93"/>
      <c r="H71" s="53"/>
      <c r="I71" s="53"/>
      <c r="J71" s="53"/>
      <c r="K71" s="53"/>
      <c r="L71" s="94"/>
      <c r="M71" s="53"/>
      <c r="N71" s="53"/>
    </row>
    <row r="72" spans="1:14" x14ac:dyDescent="0.3">
      <c r="A72" s="95"/>
      <c r="B72" s="19"/>
      <c r="C72" s="19"/>
      <c r="D72" s="53"/>
      <c r="E72" s="19"/>
      <c r="F72" s="34"/>
      <c r="G72" s="93"/>
      <c r="H72" s="53"/>
      <c r="I72" s="53"/>
      <c r="J72" s="53"/>
      <c r="K72" s="53"/>
      <c r="L72" s="94"/>
      <c r="M72" s="53"/>
      <c r="N72" s="53"/>
    </row>
    <row r="73" spans="1:14" x14ac:dyDescent="0.3">
      <c r="A73" s="95"/>
      <c r="B73" s="19"/>
      <c r="C73" s="19"/>
      <c r="D73" s="53"/>
      <c r="E73" s="19"/>
      <c r="F73" s="34"/>
      <c r="G73" s="93"/>
      <c r="H73" s="53"/>
      <c r="I73" s="53"/>
      <c r="J73" s="53"/>
      <c r="K73" s="53"/>
      <c r="L73" s="94"/>
      <c r="M73" s="53"/>
      <c r="N73" s="53"/>
    </row>
    <row r="74" spans="1:14" x14ac:dyDescent="0.3">
      <c r="A74" s="95"/>
      <c r="B74" s="19"/>
      <c r="C74" s="19"/>
      <c r="D74" s="53"/>
      <c r="E74" s="19"/>
      <c r="F74" s="34"/>
      <c r="G74" s="93"/>
      <c r="H74" s="53"/>
      <c r="I74" s="53"/>
      <c r="J74" s="53"/>
      <c r="K74" s="53"/>
      <c r="L74" s="94"/>
      <c r="M74" s="53"/>
      <c r="N74" s="53"/>
    </row>
    <row r="75" spans="1:14" x14ac:dyDescent="0.3">
      <c r="A75" s="95"/>
      <c r="B75" s="19"/>
      <c r="C75" s="19"/>
      <c r="D75" s="53"/>
      <c r="E75" s="19"/>
      <c r="F75" s="34"/>
      <c r="G75" s="93"/>
      <c r="H75" s="53"/>
      <c r="I75" s="53"/>
      <c r="J75" s="53"/>
      <c r="K75" s="53"/>
      <c r="L75" s="94"/>
      <c r="M75" s="53"/>
      <c r="N75" s="53"/>
    </row>
    <row r="76" spans="1:14" x14ac:dyDescent="0.3">
      <c r="A76" s="95"/>
      <c r="B76" s="19"/>
      <c r="C76" s="19"/>
      <c r="D76" s="53"/>
      <c r="E76" s="19"/>
      <c r="F76" s="34"/>
      <c r="G76" s="93"/>
      <c r="H76" s="53"/>
      <c r="I76" s="53"/>
      <c r="J76" s="53"/>
      <c r="K76" s="53"/>
      <c r="L76" s="94"/>
      <c r="M76" s="53"/>
      <c r="N76" s="53"/>
    </row>
    <row r="77" spans="1:14" x14ac:dyDescent="0.3">
      <c r="A77" s="95"/>
      <c r="B77" s="19"/>
      <c r="C77" s="19"/>
      <c r="D77" s="53"/>
      <c r="E77" s="19"/>
      <c r="F77" s="34"/>
      <c r="G77" s="93"/>
      <c r="H77" s="53"/>
      <c r="I77" s="53"/>
      <c r="J77" s="53"/>
      <c r="K77" s="53"/>
      <c r="L77" s="94"/>
      <c r="M77" s="53"/>
      <c r="N77" s="53"/>
    </row>
    <row r="78" spans="1:14" x14ac:dyDescent="0.3">
      <c r="A78" s="95"/>
      <c r="B78" s="19"/>
      <c r="C78" s="19"/>
      <c r="D78" s="53"/>
      <c r="E78" s="19"/>
      <c r="F78" s="34"/>
      <c r="G78" s="93"/>
      <c r="H78" s="53"/>
      <c r="I78" s="53"/>
      <c r="J78" s="53"/>
      <c r="K78" s="53"/>
      <c r="L78" s="94"/>
      <c r="M78" s="53"/>
      <c r="N78" s="53"/>
    </row>
    <row r="79" spans="1:14" x14ac:dyDescent="0.3">
      <c r="A79" s="95"/>
      <c r="B79" s="19"/>
      <c r="C79" s="19"/>
      <c r="D79" s="53"/>
      <c r="E79" s="19"/>
      <c r="F79" s="34"/>
      <c r="G79" s="93"/>
      <c r="H79" s="53"/>
      <c r="I79" s="53"/>
      <c r="J79" s="53"/>
      <c r="K79" s="53"/>
      <c r="L79" s="94"/>
      <c r="M79" s="53"/>
      <c r="N79" s="53"/>
    </row>
    <row r="80" spans="1:14" x14ac:dyDescent="0.3">
      <c r="A80" s="95"/>
      <c r="B80" s="19"/>
      <c r="C80" s="19"/>
      <c r="D80" s="53"/>
      <c r="E80" s="19"/>
      <c r="F80" s="34"/>
      <c r="G80" s="93"/>
      <c r="H80" s="53"/>
      <c r="I80" s="53"/>
      <c r="J80" s="53"/>
      <c r="K80" s="53"/>
      <c r="L80" s="94"/>
      <c r="M80" s="53"/>
      <c r="N80" s="53"/>
    </row>
    <row r="81" spans="1:14" x14ac:dyDescent="0.3">
      <c r="A81" s="95"/>
      <c r="B81" s="19"/>
      <c r="C81" s="19"/>
      <c r="D81" s="53"/>
      <c r="E81" s="19"/>
      <c r="F81" s="34"/>
      <c r="G81" s="93"/>
      <c r="H81" s="53"/>
      <c r="I81" s="53"/>
      <c r="J81" s="53"/>
      <c r="K81" s="53"/>
      <c r="L81" s="94"/>
      <c r="M81" s="53"/>
      <c r="N81" s="53"/>
    </row>
    <row r="82" spans="1:14" x14ac:dyDescent="0.3">
      <c r="A82" s="95"/>
      <c r="B82" s="19"/>
      <c r="C82" s="19"/>
      <c r="D82" s="53"/>
      <c r="E82" s="19"/>
      <c r="F82" s="34"/>
      <c r="G82" s="93"/>
      <c r="H82" s="53"/>
      <c r="I82" s="53"/>
      <c r="J82" s="53"/>
      <c r="K82" s="53"/>
      <c r="L82" s="94"/>
      <c r="M82" s="53"/>
      <c r="N82" s="53"/>
    </row>
    <row r="83" spans="1:14" x14ac:dyDescent="0.3">
      <c r="A83" s="95"/>
      <c r="B83" s="19"/>
      <c r="C83" s="19"/>
      <c r="D83" s="53"/>
      <c r="E83" s="19"/>
      <c r="F83" s="34"/>
      <c r="G83" s="93"/>
      <c r="H83" s="53"/>
      <c r="I83" s="53"/>
      <c r="J83" s="53"/>
      <c r="K83" s="53"/>
      <c r="L83" s="94"/>
      <c r="M83" s="53"/>
      <c r="N83" s="53"/>
    </row>
    <row r="84" spans="1:14" x14ac:dyDescent="0.3">
      <c r="A84" s="95"/>
      <c r="B84" s="19"/>
      <c r="C84" s="19"/>
      <c r="D84" s="53"/>
      <c r="E84" s="19"/>
      <c r="F84" s="34"/>
      <c r="G84" s="93"/>
      <c r="H84" s="53"/>
      <c r="I84" s="53"/>
      <c r="J84" s="53"/>
      <c r="K84" s="53"/>
      <c r="L84" s="94"/>
      <c r="M84" s="53"/>
      <c r="N84" s="53"/>
    </row>
    <row r="85" spans="1:14" x14ac:dyDescent="0.3">
      <c r="A85" s="95"/>
      <c r="B85" s="19"/>
      <c r="C85" s="19"/>
      <c r="D85" s="53"/>
      <c r="E85" s="19"/>
      <c r="F85" s="34"/>
      <c r="G85" s="93"/>
      <c r="H85" s="53"/>
      <c r="I85" s="53"/>
      <c r="J85" s="53"/>
      <c r="K85" s="53"/>
      <c r="L85" s="94"/>
      <c r="M85" s="53"/>
      <c r="N85" s="53"/>
    </row>
    <row r="86" spans="1:14" x14ac:dyDescent="0.3">
      <c r="A86" s="95"/>
      <c r="B86" s="19"/>
      <c r="C86" s="19"/>
      <c r="D86" s="53"/>
      <c r="E86" s="19"/>
      <c r="F86" s="34"/>
      <c r="G86" s="93"/>
      <c r="H86" s="53"/>
      <c r="I86" s="53"/>
      <c r="J86" s="53"/>
      <c r="K86" s="53"/>
      <c r="L86" s="94"/>
      <c r="M86" s="53"/>
      <c r="N86" s="53"/>
    </row>
    <row r="87" spans="1:14" x14ac:dyDescent="0.3">
      <c r="A87" s="95"/>
      <c r="B87" s="19"/>
      <c r="C87" s="19"/>
      <c r="D87" s="53"/>
      <c r="E87" s="19"/>
      <c r="F87" s="34"/>
      <c r="G87" s="93"/>
      <c r="H87" s="53"/>
      <c r="I87" s="53"/>
      <c r="J87" s="53"/>
      <c r="K87" s="53"/>
      <c r="L87" s="94"/>
      <c r="M87" s="53"/>
      <c r="N87" s="53"/>
    </row>
    <row r="88" spans="1:14" x14ac:dyDescent="0.3">
      <c r="A88" s="95"/>
      <c r="B88" s="19"/>
      <c r="C88" s="19"/>
      <c r="D88" s="53"/>
      <c r="E88" s="19"/>
      <c r="F88" s="34"/>
      <c r="G88" s="93"/>
      <c r="H88" s="53"/>
      <c r="I88" s="53"/>
      <c r="J88" s="53"/>
      <c r="K88" s="53"/>
      <c r="L88" s="94"/>
      <c r="M88" s="53"/>
      <c r="N88" s="53"/>
    </row>
    <row r="89" spans="1:14" x14ac:dyDescent="0.3">
      <c r="A89" s="95"/>
      <c r="B89" s="19"/>
      <c r="C89" s="19"/>
      <c r="D89" s="53"/>
      <c r="E89" s="19"/>
      <c r="F89" s="34"/>
      <c r="G89" s="93"/>
      <c r="H89" s="53"/>
      <c r="I89" s="53"/>
      <c r="J89" s="53"/>
      <c r="K89" s="53"/>
      <c r="L89" s="94"/>
      <c r="M89" s="53"/>
      <c r="N89" s="53"/>
    </row>
    <row r="90" spans="1:14" x14ac:dyDescent="0.3">
      <c r="A90" s="95"/>
      <c r="B90" s="19"/>
      <c r="C90" s="19"/>
      <c r="D90" s="53"/>
      <c r="E90" s="19"/>
      <c r="F90" s="34"/>
      <c r="G90" s="93"/>
      <c r="H90" s="53"/>
      <c r="I90" s="53"/>
      <c r="J90" s="53"/>
      <c r="K90" s="53"/>
      <c r="L90" s="94"/>
      <c r="M90" s="53"/>
      <c r="N90" s="53"/>
    </row>
    <row r="91" spans="1:14" x14ac:dyDescent="0.3">
      <c r="A91" s="95"/>
      <c r="B91" s="19"/>
      <c r="C91" s="19"/>
      <c r="D91" s="53"/>
      <c r="E91" s="19"/>
      <c r="F91" s="34"/>
      <c r="G91" s="93"/>
      <c r="H91" s="53"/>
      <c r="I91" s="53"/>
      <c r="J91" s="53"/>
      <c r="K91" s="53"/>
      <c r="L91" s="94"/>
      <c r="M91" s="53"/>
      <c r="N91" s="53"/>
    </row>
    <row r="92" spans="1:14" x14ac:dyDescent="0.3">
      <c r="A92" s="95"/>
      <c r="B92" s="19"/>
      <c r="C92" s="19"/>
      <c r="D92" s="53"/>
      <c r="E92" s="19"/>
      <c r="F92" s="34"/>
      <c r="G92" s="93"/>
      <c r="H92" s="53"/>
      <c r="I92" s="53"/>
      <c r="J92" s="53"/>
      <c r="K92" s="53"/>
      <c r="L92" s="94"/>
      <c r="M92" s="53"/>
      <c r="N92" s="53"/>
    </row>
    <row r="93" spans="1:14" x14ac:dyDescent="0.3">
      <c r="A93" s="95"/>
      <c r="B93" s="19"/>
      <c r="C93" s="19"/>
      <c r="D93" s="53"/>
      <c r="E93" s="19"/>
      <c r="F93" s="34"/>
      <c r="G93" s="93"/>
      <c r="H93" s="53"/>
      <c r="I93" s="53"/>
      <c r="J93" s="53"/>
      <c r="K93" s="53"/>
      <c r="L93" s="94"/>
      <c r="M93" s="53"/>
      <c r="N93" s="53"/>
    </row>
    <row r="94" spans="1:14" x14ac:dyDescent="0.3">
      <c r="A94" s="95"/>
      <c r="B94" s="19"/>
      <c r="C94" s="19"/>
      <c r="D94" s="53"/>
      <c r="E94" s="19"/>
      <c r="F94" s="34"/>
      <c r="G94" s="93"/>
      <c r="H94" s="53"/>
      <c r="I94" s="53"/>
      <c r="J94" s="53"/>
      <c r="K94" s="53"/>
      <c r="L94" s="94"/>
      <c r="M94" s="53"/>
      <c r="N94" s="53"/>
    </row>
    <row r="95" spans="1:14" x14ac:dyDescent="0.3">
      <c r="A95" s="95"/>
      <c r="B95" s="19"/>
      <c r="C95" s="19"/>
      <c r="D95" s="53"/>
      <c r="E95" s="19"/>
      <c r="F95" s="34"/>
      <c r="G95" s="93"/>
      <c r="H95" s="53"/>
      <c r="I95" s="53"/>
      <c r="J95" s="53"/>
      <c r="K95" s="53"/>
      <c r="L95" s="94"/>
      <c r="M95" s="53"/>
      <c r="N95" s="53"/>
    </row>
    <row r="96" spans="1:14" x14ac:dyDescent="0.3">
      <c r="A96" s="95"/>
      <c r="B96" s="19"/>
      <c r="C96" s="19"/>
      <c r="D96" s="53"/>
      <c r="E96" s="19"/>
      <c r="F96" s="34"/>
      <c r="G96" s="93"/>
      <c r="H96" s="53"/>
      <c r="I96" s="53"/>
      <c r="J96" s="53"/>
      <c r="K96" s="53"/>
      <c r="L96" s="94"/>
      <c r="M96" s="53"/>
      <c r="N96" s="53"/>
    </row>
    <row r="97" spans="1:14" x14ac:dyDescent="0.3">
      <c r="A97" s="95"/>
      <c r="B97" s="19"/>
      <c r="C97" s="19"/>
      <c r="D97" s="53"/>
      <c r="E97" s="19"/>
      <c r="F97" s="34"/>
      <c r="G97" s="93"/>
      <c r="H97" s="53"/>
      <c r="I97" s="53"/>
      <c r="J97" s="53"/>
      <c r="K97" s="53"/>
      <c r="L97" s="94"/>
      <c r="M97" s="53"/>
      <c r="N97" s="53"/>
    </row>
    <row r="98" spans="1:14" x14ac:dyDescent="0.3">
      <c r="A98" s="95"/>
      <c r="B98" s="19"/>
      <c r="C98" s="19"/>
      <c r="D98" s="53"/>
      <c r="E98" s="19"/>
      <c r="F98" s="34"/>
      <c r="G98" s="93"/>
      <c r="H98" s="53"/>
      <c r="I98" s="53"/>
      <c r="J98" s="53"/>
      <c r="K98" s="53"/>
      <c r="L98" s="94"/>
      <c r="M98" s="53"/>
      <c r="N98" s="53"/>
    </row>
    <row r="99" spans="1:14" x14ac:dyDescent="0.3">
      <c r="A99" s="95"/>
      <c r="B99" s="19"/>
      <c r="C99" s="19"/>
      <c r="D99" s="53"/>
      <c r="E99" s="19"/>
      <c r="F99" s="34"/>
      <c r="G99" s="93"/>
      <c r="H99" s="53"/>
      <c r="I99" s="53"/>
      <c r="J99" s="53"/>
      <c r="K99" s="53"/>
      <c r="L99" s="94"/>
      <c r="M99" s="53"/>
      <c r="N99" s="53"/>
    </row>
    <row r="100" spans="1:14" x14ac:dyDescent="0.3">
      <c r="A100" s="95"/>
      <c r="B100" s="19"/>
      <c r="C100" s="19"/>
      <c r="D100" s="53"/>
      <c r="E100" s="19"/>
      <c r="F100" s="34"/>
      <c r="G100" s="93"/>
      <c r="H100" s="53"/>
      <c r="I100" s="53"/>
      <c r="J100" s="53"/>
      <c r="K100" s="53"/>
      <c r="L100" s="94"/>
      <c r="M100" s="53"/>
      <c r="N100" s="53"/>
    </row>
    <row r="101" spans="1:14" x14ac:dyDescent="0.3">
      <c r="A101" s="95"/>
      <c r="B101" s="19"/>
      <c r="C101" s="19"/>
      <c r="D101" s="53"/>
      <c r="E101" s="19"/>
      <c r="F101" s="34"/>
      <c r="G101" s="93"/>
      <c r="H101" s="53"/>
      <c r="I101" s="53"/>
      <c r="J101" s="53"/>
      <c r="K101" s="53"/>
      <c r="L101" s="94"/>
      <c r="M101" s="53"/>
      <c r="N101" s="53"/>
    </row>
    <row r="102" spans="1:14" x14ac:dyDescent="0.3">
      <c r="A102" s="95"/>
      <c r="B102" s="19"/>
      <c r="C102" s="19"/>
      <c r="D102" s="53"/>
      <c r="E102" s="19"/>
      <c r="F102" s="34"/>
      <c r="G102" s="93"/>
      <c r="H102" s="53"/>
      <c r="I102" s="53"/>
      <c r="J102" s="53"/>
      <c r="K102" s="53"/>
      <c r="L102" s="94"/>
      <c r="M102" s="53"/>
      <c r="N102" s="53"/>
    </row>
    <row r="103" spans="1:14" x14ac:dyDescent="0.3">
      <c r="A103" s="95"/>
      <c r="B103" s="19"/>
      <c r="C103" s="19"/>
      <c r="D103" s="53"/>
      <c r="E103" s="19"/>
      <c r="F103" s="34"/>
      <c r="G103" s="93"/>
      <c r="H103" s="53"/>
      <c r="I103" s="53"/>
      <c r="J103" s="53"/>
      <c r="K103" s="53"/>
      <c r="L103" s="94"/>
      <c r="M103" s="53"/>
      <c r="N103" s="53"/>
    </row>
    <row r="104" spans="1:14" x14ac:dyDescent="0.3">
      <c r="A104" s="95"/>
      <c r="B104" s="19"/>
      <c r="C104" s="19"/>
      <c r="D104" s="53"/>
      <c r="E104" s="19"/>
      <c r="F104" s="34"/>
      <c r="G104" s="93"/>
      <c r="H104" s="53"/>
      <c r="I104" s="53"/>
      <c r="J104" s="53"/>
      <c r="K104" s="53"/>
      <c r="L104" s="94"/>
      <c r="M104" s="53"/>
      <c r="N104" s="53"/>
    </row>
    <row r="105" spans="1:14" x14ac:dyDescent="0.3">
      <c r="A105" s="95"/>
      <c r="B105" s="19"/>
      <c r="C105" s="19"/>
      <c r="D105" s="53"/>
      <c r="E105" s="19"/>
      <c r="F105" s="34"/>
      <c r="G105" s="93"/>
      <c r="H105" s="53"/>
      <c r="I105" s="53"/>
      <c r="J105" s="53"/>
      <c r="K105" s="53"/>
      <c r="L105" s="94"/>
      <c r="M105" s="53"/>
      <c r="N105" s="53"/>
    </row>
    <row r="106" spans="1:14" x14ac:dyDescent="0.3">
      <c r="A106" s="95"/>
      <c r="B106" s="19"/>
      <c r="C106" s="19"/>
      <c r="D106" s="53"/>
      <c r="E106" s="19"/>
      <c r="F106" s="34"/>
      <c r="G106" s="93"/>
      <c r="H106" s="53"/>
      <c r="I106" s="53"/>
      <c r="J106" s="53"/>
      <c r="K106" s="53"/>
      <c r="L106" s="94"/>
      <c r="M106" s="53"/>
      <c r="N106" s="53"/>
    </row>
    <row r="107" spans="1:14" x14ac:dyDescent="0.3">
      <c r="A107" s="95"/>
      <c r="B107" s="19"/>
      <c r="C107" s="19"/>
      <c r="D107" s="53"/>
      <c r="E107" s="19"/>
      <c r="F107" s="34"/>
      <c r="G107" s="93"/>
      <c r="H107" s="53"/>
      <c r="I107" s="53"/>
      <c r="J107" s="53"/>
      <c r="K107" s="53"/>
      <c r="L107" s="94"/>
      <c r="M107" s="53"/>
      <c r="N107" s="53"/>
    </row>
    <row r="108" spans="1:14" x14ac:dyDescent="0.3">
      <c r="A108" s="95"/>
      <c r="B108" s="19"/>
      <c r="C108" s="19"/>
      <c r="D108" s="53"/>
      <c r="E108" s="19"/>
      <c r="F108" s="34"/>
      <c r="G108" s="93"/>
      <c r="H108" s="53"/>
      <c r="I108" s="53"/>
      <c r="J108" s="53"/>
      <c r="K108" s="53"/>
      <c r="L108" s="94"/>
      <c r="M108" s="53"/>
      <c r="N108" s="53"/>
    </row>
    <row r="109" spans="1:14" x14ac:dyDescent="0.3">
      <c r="A109" s="95"/>
      <c r="B109" s="19"/>
      <c r="C109" s="19"/>
      <c r="D109" s="53"/>
      <c r="E109" s="19"/>
      <c r="F109" s="34"/>
      <c r="G109" s="93"/>
      <c r="H109" s="53"/>
      <c r="I109" s="53"/>
      <c r="J109" s="53"/>
      <c r="K109" s="53"/>
      <c r="L109" s="94"/>
      <c r="M109" s="53"/>
      <c r="N109" s="53"/>
    </row>
    <row r="110" spans="1:14" x14ac:dyDescent="0.3">
      <c r="A110" s="95"/>
      <c r="B110" s="19"/>
      <c r="C110" s="19"/>
      <c r="D110" s="53"/>
      <c r="E110" s="19"/>
      <c r="F110" s="34"/>
      <c r="G110" s="93"/>
      <c r="H110" s="53"/>
      <c r="I110" s="53"/>
      <c r="J110" s="53"/>
      <c r="K110" s="53"/>
      <c r="L110" s="94"/>
      <c r="M110" s="53"/>
      <c r="N110" s="53"/>
    </row>
    <row r="111" spans="1:14" x14ac:dyDescent="0.3">
      <c r="A111" s="95"/>
      <c r="B111" s="19"/>
      <c r="C111" s="19"/>
      <c r="D111" s="53"/>
      <c r="E111" s="19"/>
      <c r="F111" s="34"/>
      <c r="G111" s="93"/>
      <c r="H111" s="53"/>
      <c r="I111" s="53"/>
      <c r="J111" s="53"/>
      <c r="K111" s="53"/>
      <c r="L111" s="94"/>
      <c r="M111" s="53"/>
      <c r="N111" s="53"/>
    </row>
    <row r="112" spans="1:14" x14ac:dyDescent="0.3">
      <c r="A112" s="95"/>
      <c r="B112" s="19"/>
      <c r="C112" s="19"/>
      <c r="D112" s="53"/>
      <c r="E112" s="19"/>
      <c r="F112" s="34"/>
      <c r="G112" s="93"/>
      <c r="H112" s="53"/>
      <c r="I112" s="53"/>
      <c r="J112" s="53"/>
      <c r="K112" s="53"/>
      <c r="L112" s="94"/>
      <c r="M112" s="53"/>
      <c r="N112" s="53"/>
    </row>
    <row r="113" spans="1:14" x14ac:dyDescent="0.3">
      <c r="A113" s="95"/>
      <c r="B113" s="19"/>
      <c r="C113" s="19"/>
      <c r="D113" s="53"/>
      <c r="E113" s="19"/>
      <c r="F113" s="34"/>
      <c r="G113" s="93"/>
      <c r="H113" s="53"/>
      <c r="I113" s="53"/>
      <c r="J113" s="53"/>
      <c r="K113" s="53"/>
      <c r="L113" s="94"/>
      <c r="M113" s="53"/>
      <c r="N113" s="53"/>
    </row>
    <row r="114" spans="1:14" x14ac:dyDescent="0.3">
      <c r="A114" s="95"/>
      <c r="B114" s="19"/>
      <c r="C114" s="19"/>
      <c r="D114" s="53"/>
      <c r="E114" s="19"/>
      <c r="F114" s="34"/>
      <c r="G114" s="93"/>
      <c r="H114" s="53"/>
      <c r="I114" s="53"/>
      <c r="J114" s="53"/>
      <c r="K114" s="53"/>
      <c r="L114" s="94"/>
      <c r="M114" s="53"/>
      <c r="N114" s="53"/>
    </row>
    <row r="115" spans="1:14" x14ac:dyDescent="0.3">
      <c r="A115" s="95"/>
      <c r="B115" s="19"/>
      <c r="C115" s="19"/>
      <c r="D115" s="53"/>
      <c r="E115" s="19"/>
      <c r="F115" s="34"/>
      <c r="G115" s="93"/>
      <c r="H115" s="53"/>
      <c r="I115" s="53"/>
      <c r="J115" s="53"/>
      <c r="K115" s="53"/>
      <c r="L115" s="94"/>
      <c r="M115" s="53"/>
      <c r="N115" s="53"/>
    </row>
    <row r="116" spans="1:14" x14ac:dyDescent="0.3">
      <c r="A116" s="95"/>
      <c r="B116" s="19"/>
      <c r="C116" s="19"/>
      <c r="D116" s="53"/>
      <c r="E116" s="19"/>
      <c r="F116" s="34"/>
      <c r="G116" s="93"/>
      <c r="H116" s="53"/>
      <c r="I116" s="53"/>
      <c r="J116" s="53"/>
      <c r="K116" s="53"/>
      <c r="L116" s="94"/>
      <c r="M116" s="53"/>
      <c r="N116" s="53"/>
    </row>
    <row r="117" spans="1:14" x14ac:dyDescent="0.3">
      <c r="A117" s="95"/>
      <c r="B117" s="19"/>
      <c r="C117" s="19"/>
      <c r="D117" s="53"/>
      <c r="E117" s="19"/>
      <c r="F117" s="34"/>
      <c r="G117" s="93"/>
      <c r="H117" s="53"/>
      <c r="I117" s="53"/>
      <c r="J117" s="53"/>
      <c r="K117" s="53"/>
      <c r="L117" s="94"/>
      <c r="M117" s="53"/>
      <c r="N117" s="53"/>
    </row>
    <row r="118" spans="1:14" x14ac:dyDescent="0.3">
      <c r="A118" s="95"/>
      <c r="B118" s="19"/>
      <c r="C118" s="19"/>
      <c r="D118" s="53"/>
      <c r="E118" s="19"/>
      <c r="F118" s="34"/>
      <c r="G118" s="93"/>
      <c r="H118" s="53"/>
      <c r="I118" s="53"/>
      <c r="J118" s="53"/>
      <c r="K118" s="53"/>
      <c r="L118" s="94"/>
      <c r="M118" s="53"/>
      <c r="N118" s="53"/>
    </row>
    <row r="119" spans="1:14" x14ac:dyDescent="0.3">
      <c r="A119" s="95"/>
      <c r="B119" s="19"/>
      <c r="C119" s="19"/>
      <c r="D119" s="53"/>
      <c r="E119" s="19"/>
      <c r="F119" s="34"/>
      <c r="G119" s="93"/>
      <c r="H119" s="53"/>
      <c r="I119" s="53"/>
      <c r="J119" s="53"/>
      <c r="K119" s="53"/>
      <c r="L119" s="94"/>
      <c r="M119" s="53"/>
      <c r="N119" s="53"/>
    </row>
    <row r="120" spans="1:14" x14ac:dyDescent="0.3">
      <c r="A120" s="95"/>
      <c r="B120" s="19"/>
      <c r="C120" s="19"/>
      <c r="D120" s="53"/>
      <c r="E120" s="19"/>
      <c r="F120" s="34"/>
      <c r="G120" s="93"/>
      <c r="H120" s="53"/>
      <c r="I120" s="53"/>
      <c r="J120" s="53"/>
      <c r="K120" s="53"/>
      <c r="L120" s="94"/>
      <c r="M120" s="53"/>
      <c r="N120" s="53"/>
    </row>
    <row r="121" spans="1:14" x14ac:dyDescent="0.3">
      <c r="A121" s="95"/>
      <c r="B121" s="19"/>
      <c r="C121" s="19"/>
      <c r="D121" s="53"/>
      <c r="E121" s="19"/>
      <c r="F121" s="34"/>
      <c r="G121" s="93"/>
      <c r="H121" s="53"/>
      <c r="I121" s="53"/>
      <c r="J121" s="53"/>
      <c r="K121" s="53"/>
      <c r="L121" s="94"/>
      <c r="M121" s="53"/>
      <c r="N121" s="53"/>
    </row>
    <row r="122" spans="1:14" x14ac:dyDescent="0.3">
      <c r="A122" s="95"/>
      <c r="B122" s="19"/>
      <c r="C122" s="19"/>
      <c r="D122" s="53"/>
      <c r="E122" s="19"/>
      <c r="F122" s="34"/>
      <c r="G122" s="93"/>
      <c r="H122" s="53"/>
      <c r="I122" s="53"/>
      <c r="J122" s="53"/>
      <c r="K122" s="53"/>
      <c r="L122" s="94"/>
      <c r="M122" s="53"/>
      <c r="N122" s="53"/>
    </row>
    <row r="123" spans="1:14" x14ac:dyDescent="0.3">
      <c r="A123" s="95"/>
      <c r="B123" s="19"/>
      <c r="C123" s="19"/>
      <c r="D123" s="53"/>
      <c r="E123" s="19"/>
      <c r="F123" s="34"/>
      <c r="G123" s="93"/>
      <c r="H123" s="53"/>
      <c r="I123" s="53"/>
      <c r="J123" s="53"/>
      <c r="K123" s="53"/>
      <c r="L123" s="94"/>
      <c r="M123" s="53"/>
      <c r="N123" s="53"/>
    </row>
    <row r="124" spans="1:14" x14ac:dyDescent="0.3">
      <c r="A124" s="95"/>
      <c r="B124" s="19"/>
      <c r="C124" s="19"/>
      <c r="D124" s="53"/>
      <c r="E124" s="19"/>
      <c r="F124" s="34"/>
      <c r="G124" s="93"/>
      <c r="H124" s="53"/>
      <c r="I124" s="53"/>
      <c r="J124" s="53"/>
      <c r="K124" s="53"/>
      <c r="L124" s="94"/>
      <c r="M124" s="53"/>
      <c r="N124" s="53"/>
    </row>
    <row r="125" spans="1:14" x14ac:dyDescent="0.3">
      <c r="A125" s="95"/>
      <c r="B125" s="19"/>
      <c r="C125" s="19"/>
      <c r="D125" s="53"/>
      <c r="E125" s="19"/>
      <c r="F125" s="34"/>
      <c r="G125" s="93"/>
      <c r="H125" s="53"/>
      <c r="I125" s="53"/>
      <c r="J125" s="53"/>
      <c r="K125" s="53"/>
      <c r="L125" s="94"/>
      <c r="M125" s="53"/>
      <c r="N125" s="53"/>
    </row>
    <row r="126" spans="1:14" x14ac:dyDescent="0.3">
      <c r="A126" s="95"/>
      <c r="B126" s="19"/>
      <c r="C126" s="19"/>
      <c r="D126" s="53"/>
      <c r="E126" s="19"/>
      <c r="F126" s="34"/>
      <c r="G126" s="93"/>
      <c r="H126" s="53"/>
      <c r="I126" s="53"/>
      <c r="J126" s="53"/>
      <c r="K126" s="53"/>
      <c r="L126" s="94"/>
      <c r="M126" s="53"/>
      <c r="N126" s="53"/>
    </row>
    <row r="127" spans="1:14" x14ac:dyDescent="0.3">
      <c r="A127" s="95"/>
      <c r="B127" s="19"/>
      <c r="C127" s="19"/>
      <c r="D127" s="53"/>
      <c r="E127" s="19"/>
      <c r="F127" s="34"/>
      <c r="G127" s="93"/>
      <c r="H127" s="53"/>
      <c r="I127" s="53"/>
      <c r="J127" s="53"/>
      <c r="K127" s="53"/>
      <c r="L127" s="94"/>
      <c r="M127" s="53"/>
      <c r="N127" s="53"/>
    </row>
    <row r="128" spans="1:14" x14ac:dyDescent="0.3">
      <c r="A128" s="95"/>
      <c r="B128" s="19"/>
      <c r="C128" s="19"/>
      <c r="D128" s="53"/>
      <c r="E128" s="19"/>
      <c r="F128" s="34"/>
      <c r="G128" s="93"/>
      <c r="H128" s="53"/>
      <c r="I128" s="53"/>
      <c r="J128" s="53"/>
      <c r="K128" s="53"/>
      <c r="L128" s="94"/>
      <c r="M128" s="53"/>
      <c r="N128" s="53"/>
    </row>
    <row r="129" spans="1:14" x14ac:dyDescent="0.3">
      <c r="A129" s="95"/>
      <c r="B129" s="19"/>
      <c r="C129" s="19"/>
      <c r="D129" s="53"/>
      <c r="E129" s="19"/>
      <c r="F129" s="34"/>
      <c r="G129" s="93"/>
      <c r="H129" s="53"/>
      <c r="I129" s="53"/>
      <c r="J129" s="53"/>
      <c r="K129" s="53"/>
      <c r="L129" s="94"/>
      <c r="M129" s="53"/>
      <c r="N129" s="53"/>
    </row>
    <row r="130" spans="1:14" x14ac:dyDescent="0.3">
      <c r="A130" s="95"/>
      <c r="B130" s="19"/>
      <c r="C130" s="19"/>
      <c r="D130" s="53"/>
      <c r="E130" s="19"/>
      <c r="F130" s="34"/>
      <c r="G130" s="93"/>
      <c r="H130" s="53"/>
      <c r="I130" s="53"/>
      <c r="J130" s="53"/>
      <c r="K130" s="53"/>
      <c r="L130" s="94"/>
      <c r="M130" s="53"/>
      <c r="N130" s="53"/>
    </row>
    <row r="131" spans="1:14" x14ac:dyDescent="0.3">
      <c r="A131" s="95"/>
      <c r="B131" s="19"/>
      <c r="C131" s="19"/>
      <c r="D131" s="53"/>
      <c r="E131" s="19"/>
      <c r="F131" s="34"/>
      <c r="G131" s="93"/>
      <c r="H131" s="53"/>
      <c r="I131" s="53"/>
      <c r="J131" s="53"/>
      <c r="K131" s="53"/>
      <c r="L131" s="94"/>
      <c r="M131" s="53"/>
      <c r="N131" s="53"/>
    </row>
    <row r="132" spans="1:14" x14ac:dyDescent="0.3">
      <c r="A132" s="95"/>
      <c r="B132" s="19"/>
      <c r="C132" s="19"/>
      <c r="D132" s="53"/>
      <c r="E132" s="19"/>
      <c r="F132" s="34"/>
      <c r="G132" s="93"/>
      <c r="H132" s="53"/>
      <c r="I132" s="53"/>
      <c r="J132" s="53"/>
      <c r="K132" s="53"/>
      <c r="L132" s="94"/>
      <c r="M132" s="53"/>
      <c r="N132" s="53"/>
    </row>
    <row r="133" spans="1:14" x14ac:dyDescent="0.3">
      <c r="A133" s="95"/>
      <c r="B133" s="19"/>
      <c r="C133" s="19"/>
      <c r="D133" s="53"/>
      <c r="E133" s="19"/>
      <c r="F133" s="34"/>
      <c r="G133" s="93"/>
      <c r="H133" s="53"/>
      <c r="I133" s="53"/>
      <c r="J133" s="53"/>
      <c r="K133" s="53"/>
      <c r="L133" s="94"/>
      <c r="M133" s="53"/>
      <c r="N133" s="53"/>
    </row>
    <row r="134" spans="1:14" x14ac:dyDescent="0.3">
      <c r="A134" s="95"/>
      <c r="B134" s="19"/>
      <c r="C134" s="19"/>
      <c r="D134" s="53"/>
      <c r="E134" s="19"/>
      <c r="F134" s="34"/>
      <c r="G134" s="93"/>
      <c r="H134" s="53"/>
      <c r="I134" s="53"/>
      <c r="J134" s="53"/>
      <c r="K134" s="53"/>
      <c r="L134" s="94"/>
      <c r="M134" s="53"/>
      <c r="N134" s="53"/>
    </row>
    <row r="135" spans="1:14" x14ac:dyDescent="0.3">
      <c r="A135" s="95"/>
      <c r="B135" s="19"/>
      <c r="C135" s="19"/>
      <c r="D135" s="53"/>
      <c r="E135" s="19"/>
      <c r="F135" s="34"/>
      <c r="G135" s="93"/>
      <c r="H135" s="53"/>
      <c r="I135" s="53"/>
      <c r="J135" s="53"/>
      <c r="K135" s="53"/>
      <c r="L135" s="94"/>
      <c r="M135" s="53"/>
      <c r="N135" s="53"/>
    </row>
    <row r="136" spans="1:14" x14ac:dyDescent="0.3">
      <c r="A136" s="95"/>
      <c r="B136" s="19"/>
      <c r="C136" s="19"/>
      <c r="D136" s="53"/>
      <c r="E136" s="19"/>
      <c r="F136" s="34"/>
      <c r="G136" s="93"/>
      <c r="H136" s="53"/>
      <c r="I136" s="53"/>
      <c r="J136" s="53"/>
      <c r="K136" s="53"/>
      <c r="L136" s="94"/>
      <c r="M136" s="53"/>
      <c r="N136" s="53"/>
    </row>
    <row r="137" spans="1:14" x14ac:dyDescent="0.3">
      <c r="A137" s="95"/>
      <c r="B137" s="19"/>
      <c r="C137" s="19"/>
      <c r="D137" s="53"/>
      <c r="E137" s="19"/>
      <c r="F137" s="34"/>
      <c r="G137" s="93"/>
      <c r="H137" s="53"/>
      <c r="I137" s="53"/>
      <c r="J137" s="53"/>
      <c r="K137" s="53"/>
      <c r="L137" s="94"/>
      <c r="M137" s="53"/>
      <c r="N137" s="53"/>
    </row>
    <row r="138" spans="1:14" x14ac:dyDescent="0.3">
      <c r="A138" s="95"/>
      <c r="B138" s="19"/>
      <c r="C138" s="19"/>
      <c r="D138" s="53"/>
      <c r="E138" s="19"/>
      <c r="F138" s="34"/>
      <c r="G138" s="93"/>
      <c r="H138" s="53"/>
      <c r="I138" s="53"/>
      <c r="J138" s="53"/>
      <c r="K138" s="53"/>
      <c r="L138" s="94"/>
      <c r="M138" s="53"/>
      <c r="N138" s="53"/>
    </row>
    <row r="139" spans="1:14" x14ac:dyDescent="0.3">
      <c r="A139" s="95"/>
      <c r="B139" s="19"/>
      <c r="C139" s="19"/>
      <c r="D139" s="53"/>
      <c r="E139" s="19"/>
      <c r="F139" s="34"/>
      <c r="G139" s="93"/>
      <c r="H139" s="53"/>
      <c r="I139" s="53"/>
      <c r="J139" s="53"/>
      <c r="K139" s="53"/>
      <c r="L139" s="94"/>
      <c r="M139" s="53"/>
      <c r="N139" s="53"/>
    </row>
    <row r="140" spans="1:14" x14ac:dyDescent="0.3">
      <c r="A140" s="95"/>
      <c r="B140" s="19"/>
      <c r="C140" s="19"/>
      <c r="D140" s="53"/>
      <c r="E140" s="19"/>
      <c r="F140" s="34"/>
      <c r="G140" s="93"/>
      <c r="H140" s="53"/>
      <c r="I140" s="53"/>
      <c r="J140" s="53"/>
      <c r="K140" s="53"/>
      <c r="L140" s="94"/>
      <c r="M140" s="53"/>
      <c r="N140" s="53"/>
    </row>
    <row r="141" spans="1:14" x14ac:dyDescent="0.3">
      <c r="A141" s="95"/>
      <c r="B141" s="19"/>
      <c r="C141" s="19"/>
      <c r="D141" s="53"/>
      <c r="E141" s="19"/>
      <c r="F141" s="34"/>
      <c r="G141" s="93"/>
      <c r="H141" s="53"/>
      <c r="I141" s="53"/>
      <c r="J141" s="53"/>
      <c r="K141" s="53"/>
      <c r="L141" s="94"/>
      <c r="M141" s="53"/>
      <c r="N141" s="53"/>
    </row>
    <row r="142" spans="1:14" x14ac:dyDescent="0.3">
      <c r="A142" s="95"/>
      <c r="B142" s="19"/>
      <c r="C142" s="19"/>
      <c r="D142" s="53"/>
      <c r="E142" s="19"/>
      <c r="F142" s="34"/>
      <c r="G142" s="93"/>
      <c r="H142" s="53"/>
      <c r="I142" s="53"/>
      <c r="J142" s="53"/>
      <c r="K142" s="53"/>
      <c r="L142" s="94"/>
      <c r="M142" s="53"/>
      <c r="N142" s="53"/>
    </row>
    <row r="143" spans="1:14" x14ac:dyDescent="0.3">
      <c r="A143" s="95"/>
      <c r="B143" s="19"/>
      <c r="C143" s="19"/>
      <c r="D143" s="53"/>
      <c r="E143" s="19"/>
      <c r="F143" s="34"/>
      <c r="G143" s="93"/>
      <c r="H143" s="53"/>
      <c r="I143" s="53"/>
      <c r="J143" s="53"/>
      <c r="K143" s="53"/>
      <c r="L143" s="94"/>
      <c r="M143" s="53"/>
      <c r="N143" s="53"/>
    </row>
    <row r="144" spans="1:14" x14ac:dyDescent="0.3">
      <c r="A144" s="95"/>
      <c r="B144" s="19"/>
      <c r="C144" s="19"/>
      <c r="D144" s="53"/>
      <c r="E144" s="19"/>
      <c r="F144" s="34"/>
      <c r="G144" s="93"/>
      <c r="H144" s="53"/>
      <c r="I144" s="53"/>
      <c r="J144" s="53"/>
      <c r="K144" s="53"/>
      <c r="L144" s="94"/>
      <c r="M144" s="53"/>
      <c r="N144" s="53"/>
    </row>
  </sheetData>
  <autoFilter ref="A14:N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40"/>
  <sheetViews>
    <sheetView showGridLines="0" workbookViewId="0"/>
  </sheetViews>
  <sheetFormatPr baseColWidth="10" defaultRowHeight="14.4" x14ac:dyDescent="0.3"/>
  <cols>
    <col min="1" max="1" width="31.109375" customWidth="1"/>
    <col min="2" max="2" width="13" bestFit="1" customWidth="1"/>
    <col min="3" max="3" width="7.5546875" customWidth="1"/>
    <col min="4" max="4" width="7.44140625" customWidth="1"/>
    <col min="5" max="5" width="6.6640625" customWidth="1"/>
    <col min="6" max="6" width="7" customWidth="1"/>
    <col min="7" max="7" width="6.109375" customWidth="1"/>
    <col min="8" max="8" width="6.6640625" customWidth="1"/>
    <col min="9" max="10" width="7.33203125" bestFit="1" customWidth="1"/>
    <col min="11" max="11" width="7.44140625" customWidth="1"/>
    <col min="12" max="18" width="7.33203125" bestFit="1" customWidth="1"/>
  </cols>
  <sheetData>
    <row r="1" spans="1:9" ht="23.4" x14ac:dyDescent="0.45">
      <c r="A1" s="81" t="s">
        <v>109</v>
      </c>
      <c r="B1" s="82"/>
      <c r="C1" s="98" t="s">
        <v>102</v>
      </c>
      <c r="D1" s="99"/>
      <c r="E1" s="99"/>
      <c r="F1" s="99"/>
      <c r="G1" s="99"/>
      <c r="H1" s="99"/>
      <c r="I1" s="99"/>
    </row>
    <row r="2" spans="1:9" ht="23.4" x14ac:dyDescent="0.45">
      <c r="A2" s="83" t="s">
        <v>103</v>
      </c>
      <c r="B2" s="83" t="s">
        <v>104</v>
      </c>
      <c r="C2" s="84" t="s">
        <v>55</v>
      </c>
      <c r="D2" s="84" t="s">
        <v>49</v>
      </c>
      <c r="E2" s="84" t="s">
        <v>23</v>
      </c>
      <c r="F2" s="84" t="s">
        <v>34</v>
      </c>
      <c r="G2" s="84" t="s">
        <v>24</v>
      </c>
      <c r="H2" s="84" t="s">
        <v>25</v>
      </c>
      <c r="I2" s="84" t="s">
        <v>73</v>
      </c>
    </row>
    <row r="3" spans="1:9" ht="45" customHeight="1" x14ac:dyDescent="0.3">
      <c r="A3" s="85" t="s">
        <v>99</v>
      </c>
      <c r="B3" s="86" t="s">
        <v>105</v>
      </c>
      <c r="C3" s="86"/>
      <c r="D3" s="86"/>
      <c r="E3" s="86"/>
      <c r="F3" s="86"/>
      <c r="G3" s="86"/>
      <c r="H3" s="86" t="s">
        <v>107</v>
      </c>
      <c r="I3" s="86" t="s">
        <v>107</v>
      </c>
    </row>
    <row r="4" spans="1:9" x14ac:dyDescent="0.3">
      <c r="A4" s="85" t="s">
        <v>82</v>
      </c>
      <c r="B4" s="86" t="s">
        <v>108</v>
      </c>
      <c r="C4" s="86" t="s">
        <v>106</v>
      </c>
      <c r="D4" s="87"/>
      <c r="E4" s="87"/>
      <c r="F4" s="87"/>
      <c r="G4" s="87"/>
      <c r="H4" s="87"/>
      <c r="I4" s="87"/>
    </row>
    <row r="5" spans="1:9" ht="43.2" x14ac:dyDescent="0.3">
      <c r="A5" s="85" t="s">
        <v>89</v>
      </c>
      <c r="B5" s="86" t="s">
        <v>108</v>
      </c>
      <c r="C5" s="86"/>
      <c r="D5" s="86"/>
      <c r="E5" s="86"/>
      <c r="F5" s="86"/>
      <c r="G5" s="86"/>
      <c r="H5" s="86" t="s">
        <v>106</v>
      </c>
      <c r="I5" s="87"/>
    </row>
    <row r="6" spans="1:9" ht="28.8" x14ac:dyDescent="0.3">
      <c r="A6" s="85" t="s">
        <v>100</v>
      </c>
      <c r="B6" s="86"/>
      <c r="C6" s="86"/>
      <c r="D6" s="86"/>
      <c r="E6" s="86"/>
      <c r="F6" s="86"/>
      <c r="G6" s="86"/>
      <c r="H6" s="86" t="s">
        <v>107</v>
      </c>
      <c r="I6" s="86" t="s">
        <v>106</v>
      </c>
    </row>
    <row r="40" spans="3:3" x14ac:dyDescent="0.3">
      <c r="C40">
        <f>C43</f>
        <v>0</v>
      </c>
    </row>
  </sheetData>
  <mergeCells count="1">
    <mergeCell ref="C1:I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4.4" x14ac:dyDescent="0.3"/>
  <cols>
    <col min="1" max="1" width="50.88671875" customWidth="1"/>
    <col min="2" max="2" width="66.33203125" customWidth="1"/>
    <col min="3" max="3" width="14.88671875" customWidth="1"/>
    <col min="4" max="4" width="27.6640625" customWidth="1"/>
    <col min="5" max="5" width="19.6640625" bestFit="1" customWidth="1"/>
  </cols>
  <sheetData>
    <row r="1" spans="1:8" ht="28.8" x14ac:dyDescent="0.55000000000000004">
      <c r="A1" s="8" t="s">
        <v>44</v>
      </c>
      <c r="B1" s="4"/>
    </row>
    <row r="2" spans="1:8" ht="21" x14ac:dyDescent="0.4">
      <c r="A2" s="25" t="s">
        <v>9</v>
      </c>
      <c r="B2" s="25" t="s">
        <v>5</v>
      </c>
      <c r="C2" s="3"/>
      <c r="D2" s="51" t="s">
        <v>85</v>
      </c>
      <c r="E2" s="50" t="s">
        <v>33</v>
      </c>
    </row>
    <row r="3" spans="1:8" ht="15.6" x14ac:dyDescent="0.3">
      <c r="A3" s="24" t="s">
        <v>45</v>
      </c>
      <c r="B3" s="14" t="s">
        <v>81</v>
      </c>
      <c r="C3" s="3"/>
      <c r="D3" s="28" t="s">
        <v>88</v>
      </c>
      <c r="E3" s="52" t="s">
        <v>17</v>
      </c>
    </row>
    <row r="4" spans="1:8" x14ac:dyDescent="0.3">
      <c r="C4" s="3"/>
      <c r="D4" s="2" t="s">
        <v>86</v>
      </c>
      <c r="E4" s="52" t="s">
        <v>21</v>
      </c>
    </row>
    <row r="5" spans="1:8" x14ac:dyDescent="0.3">
      <c r="C5" s="3"/>
      <c r="D5" s="28" t="s">
        <v>87</v>
      </c>
    </row>
    <row r="6" spans="1:8" x14ac:dyDescent="0.3">
      <c r="C6" s="3"/>
      <c r="E6" s="26"/>
      <c r="F6" s="26"/>
      <c r="G6" s="26"/>
      <c r="H6" s="26"/>
    </row>
    <row r="7" spans="1:8" x14ac:dyDescent="0.3">
      <c r="C7" s="3"/>
      <c r="E7" s="26"/>
      <c r="F7" s="26"/>
      <c r="G7" s="26"/>
      <c r="H7" s="26"/>
    </row>
    <row r="8" spans="1:8" x14ac:dyDescent="0.3">
      <c r="C8" s="3"/>
      <c r="E8" s="26"/>
      <c r="F8" s="26"/>
      <c r="G8" s="26"/>
      <c r="H8" s="26"/>
    </row>
    <row r="9" spans="1:8" x14ac:dyDescent="0.3">
      <c r="C9" s="3"/>
      <c r="E9" s="26"/>
      <c r="F9" s="26"/>
      <c r="G9" s="26"/>
      <c r="H9" s="26"/>
    </row>
    <row r="10" spans="1:8" x14ac:dyDescent="0.3">
      <c r="C10" s="3"/>
      <c r="E10" s="26"/>
      <c r="F10" s="26"/>
      <c r="G10" s="26"/>
      <c r="H10" s="26"/>
    </row>
    <row r="11" spans="1:8" x14ac:dyDescent="0.3">
      <c r="C11" s="3"/>
      <c r="E11" s="26"/>
      <c r="F11" s="26"/>
      <c r="G11" s="26"/>
      <c r="H11" s="26"/>
    </row>
    <row r="12" spans="1:8" x14ac:dyDescent="0.3">
      <c r="C12" s="3"/>
      <c r="E12" s="26"/>
      <c r="F12" s="26"/>
      <c r="G12" s="26"/>
      <c r="H12" s="26"/>
    </row>
    <row r="13" spans="1:8" ht="18" x14ac:dyDescent="0.35">
      <c r="A13" s="11"/>
      <c r="B13" s="12"/>
      <c r="C13" s="3"/>
      <c r="E13" s="26"/>
      <c r="F13" s="26"/>
      <c r="G13" s="26"/>
      <c r="H13" s="26"/>
    </row>
    <row r="14" spans="1:8" x14ac:dyDescent="0.3">
      <c r="A14" s="13"/>
      <c r="B14" s="10"/>
      <c r="E14" s="26"/>
      <c r="F14" s="26"/>
      <c r="G14" s="26"/>
      <c r="H14" s="26"/>
    </row>
    <row r="15" spans="1:8" x14ac:dyDescent="0.3">
      <c r="E15" s="26"/>
      <c r="F15" s="26"/>
      <c r="G15" s="26"/>
      <c r="H15" s="26"/>
    </row>
    <row r="16" spans="1:8" x14ac:dyDescent="0.3">
      <c r="E16" s="26"/>
      <c r="F16" s="26"/>
      <c r="G16" s="26"/>
      <c r="H16" s="26"/>
    </row>
    <row r="17" spans="1:8" ht="28.8" x14ac:dyDescent="0.55000000000000004">
      <c r="A17" s="6" t="s">
        <v>10</v>
      </c>
      <c r="B17" s="5"/>
      <c r="E17" s="26"/>
      <c r="F17" s="26"/>
      <c r="G17" s="26"/>
      <c r="H17" s="26"/>
    </row>
    <row r="18" spans="1:8" x14ac:dyDescent="0.3">
      <c r="A18" s="7" t="s">
        <v>19</v>
      </c>
      <c r="B18" s="7" t="s">
        <v>84</v>
      </c>
      <c r="E18" s="26"/>
      <c r="F18" s="26"/>
      <c r="G18" s="26"/>
      <c r="H18" s="26"/>
    </row>
    <row r="19" spans="1:8" x14ac:dyDescent="0.3">
      <c r="A19" s="2" t="s">
        <v>20</v>
      </c>
      <c r="B19" s="2" t="s">
        <v>21</v>
      </c>
      <c r="E19" s="26"/>
      <c r="F19" s="26"/>
      <c r="G19" s="26"/>
      <c r="H19" s="26"/>
    </row>
    <row r="26" spans="1:8" ht="28.8" x14ac:dyDescent="0.55000000000000004">
      <c r="A26" s="48" t="s">
        <v>11</v>
      </c>
      <c r="B26" s="49"/>
    </row>
    <row r="27" spans="1:8" ht="21" x14ac:dyDescent="0.4">
      <c r="A27" s="77" t="s">
        <v>46</v>
      </c>
      <c r="B27" s="79" t="s">
        <v>83</v>
      </c>
    </row>
    <row r="28" spans="1:8" ht="28.8" x14ac:dyDescent="0.3">
      <c r="A28" s="78" t="s">
        <v>82</v>
      </c>
      <c r="B28" s="28" t="s">
        <v>99</v>
      </c>
    </row>
    <row r="29" spans="1:8" ht="31.2" x14ac:dyDescent="0.3">
      <c r="B29" s="80" t="s">
        <v>89</v>
      </c>
    </row>
    <row r="30" spans="1:8" ht="15.6" x14ac:dyDescent="0.3">
      <c r="B30" s="80" t="s">
        <v>100</v>
      </c>
    </row>
    <row r="32" spans="1:8" x14ac:dyDescent="0.3">
      <c r="B32" s="12"/>
    </row>
    <row r="33" spans="1:2" x14ac:dyDescent="0.3">
      <c r="B33" s="12"/>
    </row>
    <row r="34" spans="1:2" x14ac:dyDescent="0.3">
      <c r="A34" s="3"/>
      <c r="B34" s="12"/>
    </row>
    <row r="35" spans="1:2" ht="15.6" x14ac:dyDescent="0.3">
      <c r="A35" s="57"/>
      <c r="B35" s="12"/>
    </row>
    <row r="36" spans="1:2" ht="18" x14ac:dyDescent="0.35">
      <c r="A36" s="11"/>
      <c r="B36" s="12"/>
    </row>
    <row r="37" spans="1:2" x14ac:dyDescent="0.3">
      <c r="A37" s="3"/>
      <c r="B37" s="3"/>
    </row>
    <row r="38" spans="1:2" x14ac:dyDescent="0.3">
      <c r="B38" s="3"/>
    </row>
    <row r="39" spans="1:2" x14ac:dyDescent="0.3">
      <c r="B39" s="3"/>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11</vt:i4>
      </vt:variant>
    </vt:vector>
  </HeadingPairs>
  <TitlesOfParts>
    <vt:vector size="15" baseType="lpstr">
      <vt:lpstr>Registering</vt:lpstr>
      <vt:lpstr>Data</vt:lpstr>
      <vt:lpstr>Utfall</vt:lpstr>
      <vt:lpstr>Logikk</vt:lpstr>
      <vt:lpstr>d_ja</vt:lpstr>
      <vt:lpstr>d_nei</vt:lpstr>
      <vt:lpstr>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2017-12-14T08:31:20Z</dcterms:modified>
</cp:coreProperties>
</file>