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showInkAnnotation="0"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122 - 02\"/>
    </mc:Choice>
  </mc:AlternateContent>
  <bookViews>
    <workbookView xWindow="0" yWindow="0" windowWidth="15105" windowHeight="6885"/>
  </bookViews>
  <sheets>
    <sheet name="Registering" sheetId="1" r:id="rId1"/>
    <sheet name="Data" sheetId="2" r:id="rId2"/>
    <sheet name="Utfall" sheetId="5" r:id="rId3"/>
    <sheet name="Logikk" sheetId="3" state="hidden" r:id="rId4"/>
  </sheets>
  <functionGroups builtInGroupCount="18"/>
  <definedNames>
    <definedName name="_xlnm._FilterDatabase" localSheetId="1" hidden="1">Data!$A$15:$S$15</definedName>
    <definedName name="data_ant_live_klipp">Data!$D$7</definedName>
    <definedName name="data_ant_mediaalt">Data!$D$8</definedName>
    <definedName name="ikke_videoklipp">Data!$D$5</definedName>
    <definedName name="kommentar">Registering!$D$35</definedName>
    <definedName name="nettleser">Registering!$D$8</definedName>
    <definedName name="S2.9">Registering!$D$24</definedName>
    <definedName name="side">Registering!$D$19</definedName>
    <definedName name="slutt_data">Registering!$D$36</definedName>
    <definedName name="StartTabell" localSheetId="1">Data!$A$15</definedName>
    <definedName name="sum_testa">Data!$D$11</definedName>
    <definedName name="uten_lyd">Data!$D$6</definedName>
    <definedName name="_xlnm.Print_Titles" localSheetId="0">Registering!$4:$4</definedName>
    <definedName name="versjon.nettleser">Registering!$D$9</definedName>
    <definedName name="videoklipp">Registering!$D$20</definedName>
    <definedName name="Z_1AA42419_1160_47F5_8DEA_15A50A157DEE_.wvu.FilterData" localSheetId="1" hidden="1">Data!$A$15:$F$26</definedName>
    <definedName name="Z_49E71582_E632_4C02_B1A6_EB43BB56B0A8_.wvu.FilterData" localSheetId="1" hidden="1">Data!$A$15:$F$26</definedName>
    <definedName name="Z_49E71582_E632_4C02_B1A6_EB43BB56B0A8_.wvu.Rows" localSheetId="1" hidden="1">Data!$2:$2</definedName>
    <definedName name="Z_A9A16196_6861_4A6C_AAFE_6C81857751A4_.wvu.FilterData" localSheetId="1" hidden="1">Data!$A$15:$F$26</definedName>
    <definedName name="Z_A9A16196_6861_4A6C_AAFE_6C81857751A4_.wvu.Rows" localSheetId="1" hidden="1">Data!$2:$2</definedName>
    <definedName name="Z_A9A16196_6861_4A6C_AAFE_6C81857751A4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Sterri, Brynhild Runa - Personlig visning" guid="{A9A16196-6861-4A6C-AAFE-6C81857751A4}" mergeInterval="0" personalView="1" maximized="1" xWindow="-11" yWindow="-11" windowWidth="1942" windowHeight="1046" activeSheetId="1" showComments="commIndAndComment"/>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calcChain>
</file>

<file path=xl/sharedStrings.xml><?xml version="1.0" encoding="utf-8"?>
<sst xmlns="http://schemas.openxmlformats.org/spreadsheetml/2006/main" count="388" uniqueCount="190">
  <si>
    <t>Nr</t>
  </si>
  <si>
    <t>1.1</t>
  </si>
  <si>
    <t>1.2</t>
  </si>
  <si>
    <t>2.1</t>
  </si>
  <si>
    <t>1. Førebuing</t>
  </si>
  <si>
    <t>2.2</t>
  </si>
  <si>
    <t>Beskrivelse/Kommentar</t>
  </si>
  <si>
    <t>Type observasjon</t>
  </si>
  <si>
    <t>Dataregistering</t>
  </si>
  <si>
    <t>SK:</t>
  </si>
  <si>
    <t>Nettlesar</t>
  </si>
  <si>
    <t>Dersom</t>
  </si>
  <si>
    <t>Fasit</t>
  </si>
  <si>
    <t>I samsvar dersom</t>
  </si>
  <si>
    <t>Ellers</t>
  </si>
  <si>
    <t>Nei</t>
  </si>
  <si>
    <t>Observasjon</t>
  </si>
  <si>
    <t>1.3</t>
  </si>
  <si>
    <t>1.4</t>
  </si>
  <si>
    <t>Kilde</t>
  </si>
  <si>
    <t>Hjelp</t>
  </si>
  <si>
    <t>Side/Url</t>
  </si>
  <si>
    <t>Opne nettlesaren</t>
  </si>
  <si>
    <t>Instruksjon</t>
  </si>
  <si>
    <t>Videoklipp</t>
  </si>
  <si>
    <t>Ja</t>
  </si>
  <si>
    <r>
      <t xml:space="preserve">1.2.2 Teksting: </t>
    </r>
    <r>
      <rPr>
        <sz val="11"/>
        <color theme="1"/>
        <rFont val="Calibri"/>
        <family val="2"/>
        <scheme val="minor"/>
      </rPr>
      <t>Det gis tilgang til teksting for alt forhåndsinnspilt lydinnhold i synkroniserte medier, bortsett fra når mediene fungerer som mediealternativer til tekst og er tydelig merket som det.</t>
    </r>
  </si>
  <si>
    <t>G93</t>
  </si>
  <si>
    <t>G87</t>
  </si>
  <si>
    <t>3.1</t>
  </si>
  <si>
    <t>3.2</t>
  </si>
  <si>
    <t>3.3</t>
  </si>
  <si>
    <t>3.4</t>
  </si>
  <si>
    <t>2.3</t>
  </si>
  <si>
    <t>1.5</t>
  </si>
  <si>
    <t>Datavalidering nettlesar</t>
  </si>
  <si>
    <t>Internet Explorer</t>
  </si>
  <si>
    <t>Firefox</t>
  </si>
  <si>
    <t>Safari</t>
  </si>
  <si>
    <t>Andre</t>
  </si>
  <si>
    <t>Chrome</t>
  </si>
  <si>
    <t>Registrer kva nettlesar du testar i.</t>
  </si>
  <si>
    <t>Registrer kva versjon av nettlesaren du testar i.</t>
  </si>
  <si>
    <t>Denne finn du ofte under "om" eller i innstillingar for nettlesaren.</t>
  </si>
  <si>
    <t>3.5</t>
  </si>
  <si>
    <r>
      <t xml:space="preserve">2. For kvar video </t>
    </r>
    <r>
      <rPr>
        <sz val="12"/>
        <color theme="1"/>
        <rFont val="Calibri"/>
        <family val="2"/>
        <scheme val="minor"/>
      </rPr>
      <t>(Prosedyren må gjennomførast for kvart enkelt testobjekt. Etter at du har trykt på "legg til data", kan du starte på nytt.)</t>
    </r>
  </si>
  <si>
    <t>Skriv inn url på ei slik form at vi kan nå aktuell nettside ved å klikke på lenka</t>
  </si>
  <si>
    <r>
      <t xml:space="preserve">Sett i gang videoen og høyr etter om det er lyd i videoen. Dersom videoen er lang, kan du ta stikkprøvar på ulike stader i videoen.
</t>
    </r>
    <r>
      <rPr>
        <b/>
        <sz val="11"/>
        <color theme="1"/>
        <rFont val="Calibri"/>
        <family val="2"/>
        <scheme val="minor"/>
      </rPr>
      <t xml:space="preserve">MERK: </t>
    </r>
    <r>
      <rPr>
        <sz val="11"/>
        <color theme="1"/>
        <rFont val="Calibri"/>
        <family val="2"/>
        <scheme val="minor"/>
      </rPr>
      <t xml:space="preserve">Med lyd meinest alle former for lyd, også lyd som ikkje er meiningsbærande eller vesentleg for å formidle innhaldet i videoen. </t>
    </r>
  </si>
  <si>
    <t>Først skal du vurdere om videofila er unntatt frå kravet, jf formulering i suksesskriteriet.</t>
  </si>
  <si>
    <t>Oppgi url for sida videofila ligg på.</t>
  </si>
  <si>
    <t>Skriv inn tittel på videofila.</t>
  </si>
  <si>
    <t>Legg inn tittel på videofila eller stikkord om innhaldet, dersom tittel manglar.</t>
  </si>
  <si>
    <t>I det følgjande skal du vurdere teksting av kvar video</t>
  </si>
  <si>
    <t>3.6</t>
  </si>
  <si>
    <t>3.7</t>
  </si>
  <si>
    <t>F74</t>
  </si>
  <si>
    <t xml:space="preserve">Resultat - Vurdering av unntak </t>
  </si>
  <si>
    <t>Ikkje aktuelt å gjennomføre test som følge av:</t>
  </si>
  <si>
    <t>Testsidene har ikkje video</t>
  </si>
  <si>
    <t>Testsidene har video, men alle er direkte/live (ikkje førehandsinnspelte)</t>
  </si>
  <si>
    <t>Testsidene har video, men alle er mediealternativ til tekst/lyd</t>
  </si>
  <si>
    <t>Resultat - Oppsummert for alle testobjekt</t>
  </si>
  <si>
    <t>Oppsummerte resultat for gjennomførte testar</t>
  </si>
  <si>
    <t>Sum testa videoar</t>
  </si>
  <si>
    <t>Sum videoar som ikkje er i samsvar med fasit</t>
  </si>
  <si>
    <t>Sum videoar som er i samsvar med fasit</t>
  </si>
  <si>
    <t>Resultat - Pr testobjekt</t>
  </si>
  <si>
    <t>G87
G93
F75
F8</t>
  </si>
  <si>
    <t>Aktuelle metodar kan vere:
- Sjå på sidene om det finst ein playknapp eller liknande.
- Bruk internt søk på nettstaden.
- Bruke Google (Du kan bruke "site:urlnettstad søkeord" for å berre søke på ein bestemet nettstad).
Aktuelle søkeomgrep kan være: "Video", "Animasjon", "YouTube", "Viemo", "opptak", "H264", "mpeg4".
Merk at søkeomgrepa over er best tilpassa for søk interent på ein nettstad</t>
  </si>
  <si>
    <t>G87
G93</t>
  </si>
  <si>
    <t>Gjer ein visuell inspeksjon av teksten. 
Vurder om teksten er tilstrekkeleg synleg/lesbar. 
Du skal her vurder teksting mot bakgrunn, altså videoen. Døme på lite lesbar tekst er:
- teksting som ligg oppå annan tekst
- teksting som har tilnærma same farge som bakgrunnen/videoen.</t>
  </si>
  <si>
    <t>Testsidene har ikkje video med lyd</t>
  </si>
  <si>
    <t>4. Kontroller i arkfane "Data" at testdata er lagt til.</t>
  </si>
  <si>
    <t>I det følgjande skal du vurdere om du når eit tekstalternativ via ein mekanisme i form av ei lenke, ein knapp eller liknande</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</si>
  <si>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</si>
  <si>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3.8</t>
  </si>
  <si>
    <t>3.9</t>
  </si>
  <si>
    <t>3.10</t>
  </si>
  <si>
    <t>3.11</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</si>
  <si>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</si>
  <si>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6-10 tabsteg</t>
  </si>
  <si>
    <t>3.12</t>
  </si>
  <si>
    <t>3.13</t>
  </si>
  <si>
    <t>Datavalidering tab-steg</t>
  </si>
  <si>
    <t>1-5 tabsteg</t>
  </si>
  <si>
    <t>Fleire enn 10 tabsteg</t>
  </si>
  <si>
    <t>Når ikkje mekanisme med tastatur</t>
  </si>
  <si>
    <t>Ikkje mogleg å verifisere</t>
  </si>
  <si>
    <t>Kodar for validering Ja/Nei</t>
  </si>
  <si>
    <t>I det følgjande skal du vurdere om det finst tekstalternativ visuelt plassert nær videoklippet/avspelaren</t>
  </si>
  <si>
    <t>3.14</t>
  </si>
  <si>
    <t>Samanlikn tekstalternativet med innhaldet i videoklippet:
- Gå gjennom for eksempel dei første 5 minuttane av videoklippet og vurder om videoklippet og tekstalternativet formidlar det same hovudinnhaldet i lik rekkefølge og sjekk at følgande elemenet er dekka:
 -tale og dialog
- viktige lydeffektar
- markering av kven som snakkar . 
MERK: Vi krev ikkje eksakt attgjevinng av innhaldet, men at alt vesentleg innhald er teke med i rett rekkefølge 
Dersom du allereie i starten av videoklippet avdekkar at det ikkje er samsvar mellom videoklipp og tekstalternativ, kan du stoppe gjennomgangen.</t>
  </si>
  <si>
    <t xml:space="preserve">Opne førehandsdefinert testside eller gjennomfør eit manuelt søk etter videoklipp på nettstaden. 
Dersom du ikkje har funne videoklipp innan få minuttar, kan du avbryte.
</t>
  </si>
  <si>
    <t>3.15</t>
  </si>
  <si>
    <t>Legg inn kommentar i dataregistreringsfeltet</t>
  </si>
  <si>
    <t>F75</t>
  </si>
  <si>
    <t>Edge</t>
  </si>
  <si>
    <t>Observasjon på nettsidenivå</t>
  </si>
  <si>
    <t>Ikkje-førekomst</t>
  </si>
  <si>
    <t>Testsidene har ikkje videoklipp, eller videoklipp er direkte/live,  utan lyd, eller lydklipp er mediealternativ til tekst</t>
  </si>
  <si>
    <t>Teksting</t>
  </si>
  <si>
    <t>Videoklippet er utan teksting</t>
  </si>
  <si>
    <t xml:space="preserve">Videoklippet har eit tekstalternativ som kan nåast, koda som tekst og som gir same bodskap som videoklippet. </t>
  </si>
  <si>
    <t xml:space="preserve">Videoklippet har teksting som er lesbar/visuelt synleg, utan forstyrringar og som gir same bodskap som videoklippet. </t>
  </si>
  <si>
    <t>som ikkje gir same bodskap</t>
  </si>
  <si>
    <t>Videoklippet har teksting som ikkje er lesbar/visuelt synleg</t>
  </si>
  <si>
    <t>Videoklippet har teksting som ikkje gir same bodskap</t>
  </si>
  <si>
    <t>Videoklippet har teksting der viktig informasjon blir forstyrra eller skjult</t>
  </si>
  <si>
    <t>Tekstalternativ nær klippet</t>
  </si>
  <si>
    <t>Tekstalternativ via ein mekanisme</t>
  </si>
  <si>
    <t>utan mekanisme til anna tekstalternativ</t>
  </si>
  <si>
    <t>som ikkje er koda som tekst</t>
  </si>
  <si>
    <t>utan tekstalternativ nær klippet</t>
  </si>
  <si>
    <t>3.7 = ja eller 3.10 = ja eller 3.14 0 ja</t>
  </si>
  <si>
    <t xml:space="preserve">Undersøk om det i tilknytning til videoen finst ein tekst som visuelt står fram som hovudformatet for formidling av informasjonen. 
Indikasjonar på at videoen er eit mediealternativ til tekst kan vere:
- Ikon (for eksempel filmkameraikon) som indikerar at det er et alternativ til ein nærliggande tekst.
- Lenke med lenketekst der det går fram at det er eit videoklipp (til dømes "sjå opptak", "animasjon").
- Eit mediealternativ til tekst er tydeleg merka når det er presentert i direkte nærleik til ein tekst og det ikkje er tvil om at det er et alternativ til den aktuelle teksten.
</t>
  </si>
  <si>
    <t xml:space="preserve">Vurder den visuelle plasseringa av teksten i videoen. 
Korte forstyrringar eller ubetydelige forstyrringar er ok. 
</t>
  </si>
  <si>
    <t xml:space="preserve">Er informasjonen/innhaldet som blir formidla i videoklippet i samsvar med informasjon som blir formidla i teksten? </t>
  </si>
  <si>
    <t>Sjå gjennom dei første minuttane av videoklippet og samanlikn innhaldet i videoklippet med det som vert formidla i tekstinga.   
Merk at teksting og bilete tilsaman skal formidle informasjon som vert gitt via bilete og  lyd i videoen.
MERK: Vi krev ikkje at tekstinga eksakt formidlar innhaldet i lyd og bilete, men at følgjande element er dekka: 
- tale og dialog med markering av kven som snakkar (dersom du kan forstå kven som snakkar ut frå den visuelle infomasjonen i videoen, treng ikkje teksten å formidle dette).
- viktige lydeffektar</t>
  </si>
  <si>
    <t>Samanlikn tekstalternativet med innhaldet i videoklippet:
- Gå gjennom dei første minuttane av videoklippet.
- Vurder om videoklipp og tekstalternativ formidlar det same hovudinnhaldet i lik rekkefølge. 
- MERK: Vi krev ikkje eksakt attgjevinng av innhaldet, men at alt vesentleg innhald er teke med i rett rekkefølge.
Dersom du allereie i starten av videoklippet avdekkar at det ikkje er samsvar mellom videoklipp og tekstalternativ, kan du stoppe gjennomgangen.</t>
  </si>
  <si>
    <t>Aktuelle metodar for å finne ut dette er:
- Prøv å starte videoklippet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</si>
  <si>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I dette steget skal du ikkje ta stilling til kvaliteten på teksten. Det er nok at teksten ligg nær klippet, den kan for eksempel ligge over eller under videoklippet.
Du skal ikkje måtte scrolle vekk frå videoklippet for å finne teksten. (Du kan scrolle på sida, men videoklippet skal fortsatt vere synleg i nettlesaren).
Merk at det er ok at du må scrolle for å lese gjennom teksten.</t>
  </si>
  <si>
    <t>Start videoklippet og sjekk om videoen har teksting. 
Teksting blir òg omtala som undertekst.</t>
  </si>
  <si>
    <t>Sjå etter om det finst ein knapp eller mekanisme i spelaren for å slå på/av teksting.
Merk at du ofte må føre musepeikar over videoen for å få fram handlingsalternativ (t.d. aktivere tekst).
 Teksting kan aktiverast ved:
- knapp med til dømes CC (closed caption), 
- knapp med linje/strek eller liknande som indikerer at du kan aktivere tekst</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</si>
  <si>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</si>
  <si>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</si>
  <si>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Registrering</t>
  </si>
  <si>
    <t>Utfall</t>
  </si>
  <si>
    <t>Samsvar</t>
  </si>
  <si>
    <t>Brudd</t>
  </si>
  <si>
    <t>nei</t>
  </si>
  <si>
    <t>1.2.2 a</t>
  </si>
  <si>
    <t>Videoklippet er utan teksting, utan tekstalternativ nær klippet og utan mekanisme til anna tekstalternativ.</t>
  </si>
  <si>
    <t>Videoklippet er utan teksting, utan tekstalternativ nær klippet og tekstalternativ via ein mekanisme som ikkje er koda som tekst.</t>
  </si>
  <si>
    <t>Videoklippet er utan teksting, utan tekstalternativ nær klippet og tekstalternativ via ein mekanisme som ikkje gir same bodskap.</t>
  </si>
  <si>
    <t>Videoklippet er utan teksting, tekstalternativ nær klippet som ikkje er koda som tekst og utan mekanisme til anna tekstalternativ.</t>
  </si>
  <si>
    <t>Videoklippet er utan teksting, tekstalternativ nær klippet som ikkje er koda som tekst og tekstalternativ via ein mekanisme som ikkje er koda som tekst.</t>
  </si>
  <si>
    <t>Videoklippet er utan teksting, tekstalternativ nær klippet som ikkje er koda som tekst og tekstalternativ via ein mekanisme som ikkje gir same bodskap.</t>
  </si>
  <si>
    <t>Videoklippet er utan teksting, tekstalternativ nær klippet som ikkje gir same bodskap og utan mekanisme til anna tekstalternativ.</t>
  </si>
  <si>
    <t>Videoklippet er utan teksting, tekstalternativ nær klippet som ikkje gir same bodskap og tekstalternativ via ein mekanisme som ikkje er koda som tekst.</t>
  </si>
  <si>
    <t>Videoklippet er utan teksting, tekstalternativ nær klippet som ikkje gir same bodskap og tekstalternativ via ein mekanisme som ikkje gir same bodskap.</t>
  </si>
  <si>
    <t>Videoklippet har teksting som ikkje er lesbar/visuelt synleg, utan tekstalternativ nær klippet og utan mekanisme til anna tekstalternativ.</t>
  </si>
  <si>
    <t>Videoklippet har teksting som ikkje er lesbar/visuelt synleg, utan tekstalternativ nær klippet og tekstalternativ via ein mekanisme som ikkje er koda som tekst.</t>
  </si>
  <si>
    <t>Videoklippet har teksting som ikkje er lesbar/visuelt synleg, utan tekstalternativ nær klippet og tekstalternativ via ein mekanisme som ikkje gir same bodskap.</t>
  </si>
  <si>
    <t>Videoklippet har teksting som ikkje er lesbar/visuelt synleg, tekstalternativ nær klippet som ikkje er koda som tekst og utan mekanisme til anna tekstalternativ.</t>
  </si>
  <si>
    <t>Videoklippet har teksting som ikkje er lesbar/visuelt synleg, tekstalternativ nær klippet som ikkje er koda som tekst og tekstalternativ via ein mekanisme som ikkje er koda som tekst.</t>
  </si>
  <si>
    <t>Videoklippet har teksting som ikkje er lesbar/visuelt synleg, tekstalternativ nær klippet som ikkje er koda som tekst og tekstalternativ via ein mekanisme som ikkje gir same bodskap.</t>
  </si>
  <si>
    <t>Videoklippet har teksting som ikkje er lesbar/visuelt synleg,  tekstalternativ nær klippet som ikkje gir same bodskap og utan mekanisme til anna tekstalternativ.</t>
  </si>
  <si>
    <t>Videoklippet har teksting som ikkje er lesbar/visuelt synleg,  tekstalternativ nær klippet som ikkje gir same bodskap og tekstalternativ via ein mekanisme som ikkje er koda som tekst.</t>
  </si>
  <si>
    <t>Videoklippet har teksting som ikkje er lesbar/visuelt synleg,  tekstalternativ nær klippet som ikkje gir same bodskap og tekstalternativ via ein mekanisme som ikkje gir same bodskap.</t>
  </si>
  <si>
    <t>ja</t>
  </si>
  <si>
    <t>Videoklippet har teksting som ikkje gir same bodskap, utan tekstalternativ nær klippet og utan mekanisme til anna tekstalternativ.</t>
  </si>
  <si>
    <t>Videoklippet har teksting som ikkje gir same bodskap, utan tekstalternativ nær klippet og tekstalternativ via ein mekanisme som ikkje er koda som tekst.</t>
  </si>
  <si>
    <t>Videoklippet har teksting som ikkje gir same bodskap, utan tekstalternativ nær klippet og tekstalternativ via ein mekanisme som ikkje gir same bodskap.</t>
  </si>
  <si>
    <t>Videoklippet har teksting som ikkje gir same bodskap, tekstalternativ nær klippet som ikkje er koda som tekst og utan mekanisme til anna tekstalternativ.</t>
  </si>
  <si>
    <t>Videoklippet har teksting som ikkje gir same bodskap, tekstalternativ nær klippet som ikkje er koda som tekst og tekstalternativ via ein mekanisme som ikkje er koda som tekst.</t>
  </si>
  <si>
    <t>Videoklippet har teksting som ikkje gir same bodskap, tekstalternativ nær klippet som ikkje er koda som tekst og tekstalternativ via ein mekanisme som ikkje gir same bodskap.</t>
  </si>
  <si>
    <t>Videoklippet har teksting som ikkje gir same bodskap, tekstalternativ nær klippet som ikkje gir same bodskap og utan mekanisme til anna tekstalternativ.</t>
  </si>
  <si>
    <t>Videoklippet har teksting som ikkje gir same bodskap, tekstalternativ nær klippet som ikkje gir same bodskap og tekstalternativ via ein mekanisme som ikkje er koda som tekst.</t>
  </si>
  <si>
    <t>Videoklippet har teksting som ikkje gir same bodskap, tekstalternativ nær klippet som ikkje gir same bodskap og tekstalternativ via ein mekanisme som ikkje gir same bodskap.</t>
  </si>
  <si>
    <t>Videoklippet har teksting der viktig informasjon blir forstyrra eller skjult, utan tekstalternativ nær klippet og utan mekanisme til anna tekstalternativ.</t>
  </si>
  <si>
    <t>Videoklippet har teksting der viktig informasjon blir forstyrra eller skjult, utan tekstalternativ nær klippet og tekstalternativ via ein mekanisme som ikkje er koda som tekst.</t>
  </si>
  <si>
    <t>Videoklippet har teksting der viktig informasjon blir forstyrra eller skjult, utan tekstalternativ nær klippet og tekstalternativ via ein mekanisme som ikkje gir same bodskap.</t>
  </si>
  <si>
    <t>Videoklippet har teksting der viktig informasjon blir forstyrra eller skjult, tekstalternativ nær klippet som ikkje er koda som tekst og utan mekanisme til anna tekstalternativ.</t>
  </si>
  <si>
    <t>Videoklippet har teksting der viktig informasjon blir forstyrra eller skjult, tekstalternativ nær klippet som ikkje er koda som tekst og  tekstalternativ via ein mekanisme som ikkje er koda som tekst.</t>
  </si>
  <si>
    <t>Videoklippet har teksting der viktig informasjon blir forstyrra eller skjult, tekstalternativ nær klippet som ikkje er koda som tekst og tekstalternativ via ein mekanisme som ikkje gir same bodskap.</t>
  </si>
  <si>
    <t>Videoklippet har teksting der viktig informasjon blir forstyrra eller skjult, tekstalternativ nær klippet som ikkje gir same bodskap og utan mekanisme til anna tekstalternativ.</t>
  </si>
  <si>
    <t>Videoklippet har teksting der viktig informasjon blir forstyrra eller skjult, tekstalternativ nær klippet som ikkje gir same bodskap og tekstalternativ via ein mekanisme som ikkje er koda som tekst.</t>
  </si>
  <si>
    <t>Videoklippet har teksting der viktig informasjon blir forstyrra eller skjult, tekstalternativ nær klippet som ikkje gir same bodskap og tekstalternativ via ein mekanisme som ikkje gir same bodskap</t>
  </si>
  <si>
    <t>Steg</t>
  </si>
  <si>
    <t>3. For kvar enkelt forhåndsinnspelt video med lyd</t>
  </si>
  <si>
    <r>
      <t xml:space="preserve">Har videoen lyd?
</t>
    </r>
    <r>
      <rPr>
        <b/>
        <sz val="11"/>
        <color rgb="FFFF0000"/>
        <rFont val="Calibri"/>
        <family val="2"/>
        <scheme val="minor"/>
      </rPr>
      <t>Viss Nei, gå til steg 3.15 for å skrive inn kommentar.</t>
    </r>
  </si>
  <si>
    <r>
      <t xml:space="preserve">Er videoen forhåndsinnspelt?
</t>
    </r>
    <r>
      <rPr>
        <b/>
        <sz val="11"/>
        <color rgb="FFFF0000"/>
        <rFont val="Calibri"/>
        <family val="2"/>
        <scheme val="minor"/>
      </rPr>
      <t>Viss Nei, gå til steg 3.15 for å skrive inn kommentar.</t>
    </r>
  </si>
  <si>
    <r>
      <t xml:space="preserve">Er videoen eit mediealternativ til tekst og tydeleg merka som det?
</t>
    </r>
    <r>
      <rPr>
        <b/>
        <sz val="11"/>
        <color rgb="FFFF0000"/>
        <rFont val="Calibri"/>
        <family val="2"/>
        <scheme val="minor"/>
      </rPr>
      <t>Viss Ja, gå til steg 3.15 for å skrive inn kommentar.</t>
    </r>
  </si>
  <si>
    <r>
      <t xml:space="preserve">Er det mogeleg å slå på teksting i videoen?
</t>
    </r>
    <r>
      <rPr>
        <b/>
        <sz val="11"/>
        <color rgb="FFFF0000"/>
        <rFont val="Calibri"/>
        <family val="2"/>
        <scheme val="minor"/>
      </rPr>
      <t>Viss Nei, gå til steg til 3.8.</t>
    </r>
  </si>
  <si>
    <r>
      <t xml:space="preserve">Er tekstinga lesbar/visuelt synleg?
</t>
    </r>
    <r>
      <rPr>
        <b/>
        <sz val="11"/>
        <color rgb="FFFF0000"/>
        <rFont val="Calibri"/>
        <family val="2"/>
        <scheme val="minor"/>
      </rPr>
      <t>Viss Nei, gå til steg til 3.8.</t>
    </r>
  </si>
  <si>
    <r>
      <t xml:space="preserve">Er informasjonen/innhaldet som blir formidla i tekstinga samsvar med informasjon som blir formidla i via lyd og bilete i videoen? 
</t>
    </r>
    <r>
      <rPr>
        <b/>
        <sz val="11"/>
        <color rgb="FFFF0000"/>
        <rFont val="Calibri"/>
        <family val="2"/>
        <scheme val="minor"/>
      </rPr>
      <t>Viss Nei, gå til steg 3.8.</t>
    </r>
    <r>
      <rPr>
        <b/>
        <sz val="11"/>
        <color theme="1"/>
        <rFont val="Calibri"/>
        <family val="2"/>
        <scheme val="minor"/>
      </rPr>
      <t xml:space="preserve">
</t>
    </r>
  </si>
  <si>
    <r>
      <t xml:space="preserve">Forstyrrar eller skjuler tekstinga viktig informasjon i videoen?
</t>
    </r>
    <r>
      <rPr>
        <b/>
        <sz val="11"/>
        <color rgb="FFFF0000"/>
        <rFont val="Calibri"/>
        <family val="2"/>
        <scheme val="minor"/>
      </rPr>
      <t>Viss Nei, gå til steg 3.15 for å skrive inn kommentar.</t>
    </r>
  </si>
  <si>
    <r>
      <t xml:space="preserve">Finst det ein tekst visuelt plassert nær videoklippet/avspelaren som omtaler klippet?
</t>
    </r>
    <r>
      <rPr>
        <b/>
        <sz val="11"/>
        <color rgb="FFFF0000"/>
        <rFont val="Calibri"/>
        <family val="2"/>
        <scheme val="minor"/>
      </rPr>
      <t>Viss Nei, gå til steg 3.11.</t>
    </r>
  </si>
  <si>
    <r>
      <t xml:space="preserve">Er tekstalternativet koda som tekst?
</t>
    </r>
    <r>
      <rPr>
        <b/>
        <sz val="11"/>
        <color rgb="FFFF0000"/>
        <rFont val="Calibri"/>
        <family val="2"/>
        <scheme val="minor"/>
      </rPr>
      <t>Viss Nei, gå til steg 3.11.</t>
    </r>
  </si>
  <si>
    <r>
      <t xml:space="preserve">Er informasjonen/innhaldet som blir formidla i videoklippet i samsvar med informasjon som blir formidla i teksten?  
</t>
    </r>
    <r>
      <rPr>
        <b/>
        <sz val="11"/>
        <color rgb="FFFF0000"/>
        <rFont val="Calibri"/>
        <family val="2"/>
        <scheme val="minor"/>
      </rPr>
      <t>Viss Ja, gå til steg 3.15 for å skrive inn kommentar.</t>
    </r>
  </si>
  <si>
    <r>
      <t xml:space="preserve">Finst det ein mekanisme (lenke, knapp eller liknande) nær videoklippet som tilseier at du vert leia til eit tekstalternativ til videoklippet?
</t>
    </r>
    <r>
      <rPr>
        <b/>
        <sz val="11"/>
        <color rgb="FFFF0000"/>
        <rFont val="Calibri"/>
        <family val="2"/>
        <scheme val="minor"/>
      </rPr>
      <t>Viss Nei, gå til steg 3.15 for å skrive inn kommentar.</t>
    </r>
  </si>
  <si>
    <r>
      <t xml:space="preserve">Er tekstalternativet koda som tekst?
</t>
    </r>
    <r>
      <rPr>
        <b/>
        <sz val="11"/>
        <color rgb="FFFF0000"/>
        <rFont val="Calibri"/>
        <family val="2"/>
        <scheme val="minor"/>
      </rPr>
      <t>Viss Nei, gå til steg 3.15 for å skrive inn kommentar.</t>
    </r>
  </si>
  <si>
    <t>Eventuelt: 
Legg til kommentar som utdjupar testresultat eller liknande.
Trykk på knappen "Legg til data".</t>
  </si>
  <si>
    <r>
      <rPr>
        <b/>
        <sz val="11"/>
        <color theme="1"/>
        <rFont val="Calibri"/>
        <family val="2"/>
        <scheme val="minor"/>
      </rPr>
      <t xml:space="preserve">Krav til samsvar:
</t>
    </r>
    <r>
      <rPr>
        <sz val="11"/>
        <color theme="1"/>
        <rFont val="Calibri"/>
        <family val="2"/>
        <scheme val="minor"/>
      </rPr>
      <t>Forhåndsinnspelt video med lyd som ikkje er eit mediealternativ til tekst, har alternativ i form av teksting eller tekstalternativ.
- Teksting, som anten ligg fast (open teksting) eller som kan slåast på (skjult teksting).
- Tekstinga formidlar innhaldet i lyd og bilete og inneheld følgjande element: Tale og dialog med markering av kven som snakkar og lydinnhald som er viktig for å forstå videoen.
- Teksten skal vere visuelt synleg og ikkje forstyrre viktig innhald i videoen.
- Alternativt kan videoen ha eit tekstalternativ som er visuelt plassert nær videoklippet, eller kan nåast via ein mekanisme (lenke,knapp eller liknande). 
- Tekstalternativet må vere koda som tekst.
- Tekstalternativet formidlar innhaldet i lyd og bilete og inneheld følgjande element: Tale og dialog med markering av kven som snakkar og lydinnhald som er viktig for å forstå videoen.
Merk: Vi krev ikkje eksakt attgjevinng av innhaldet, men at alt vesentleg innhald er teke med i rett rekkefølge.</t>
    </r>
  </si>
  <si>
    <r>
      <t xml:space="preserve">Er videoen teksta ?
</t>
    </r>
    <r>
      <rPr>
        <b/>
        <sz val="11"/>
        <color rgb="FFFF0000"/>
        <rFont val="Calibri"/>
        <family val="2"/>
        <scheme val="minor"/>
      </rPr>
      <t>Viss Ja, gå til steg 3.5.</t>
    </r>
  </si>
  <si>
    <t>1.2.2 a Forhåndsinnspelt video med lyd har teksting</t>
  </si>
  <si>
    <t>Sist oppdatert av Difi</t>
  </si>
  <si>
    <t>Utfall (oppsummering av observasjon)</t>
  </si>
  <si>
    <r>
      <t xml:space="preserve">Har nettstaden videoklipp?
</t>
    </r>
    <r>
      <rPr>
        <b/>
        <sz val="11"/>
        <color rgb="FFFF0000"/>
        <rFont val="Calibri"/>
        <family val="2"/>
        <scheme val="minor"/>
      </rPr>
      <t>Viss Nei, gå til steg 3.15 for å skrive inn kommentar.</t>
    </r>
  </si>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</sst>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2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2">
    <xf numFmtId="0" fontId="0" fillId="0" borderId="0" xfId="0"/>
    <xf numFmtId="0" fontId="0" fillId="0" borderId="0" xfId="0" applyAlignment="1">
      <alignment vertical="center"/>
    </xf>
    <xf numFmtId="0" fontId="0" fillId="7" borderId="2" xfId="0" applyFill="1" applyBorder="1"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3"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7" borderId="0" xfId="0" applyFill="1" applyAlignment="1">
      <alignment vertical="center"/>
    </xf>
    <xf numFmtId="0" fontId="7" fillId="7" borderId="0" xfId="0" applyFont="1" applyFill="1" applyAlignment="1">
      <alignment vertical="center"/>
    </xf>
    <xf numFmtId="0" fontId="0" fillId="5" borderId="0" xfId="0" applyFill="1" applyBorder="1" applyAlignment="1">
      <alignment vertical="center"/>
    </xf>
    <xf numFmtId="0" fontId="0" fillId="5" borderId="0" xfId="0" applyFill="1" applyAlignment="1">
      <alignment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1"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5" borderId="0" xfId="0" applyFill="1" applyBorder="1" applyAlignment="1">
      <alignment horizontal="left" vertical="center"/>
    </xf>
    <xf numFmtId="0" fontId="10" fillId="0" borderId="4" xfId="0" applyFont="1" applyBorder="1"/>
    <xf numFmtId="0" fontId="9" fillId="0" borderId="4" xfId="0" applyFont="1" applyBorder="1"/>
    <xf numFmtId="0" fontId="0" fillId="0" borderId="4" xfId="0" applyBorder="1"/>
    <xf numFmtId="0" fontId="0" fillId="7" borderId="0" xfId="0" applyFill="1"/>
    <xf numFmtId="0" fontId="0" fillId="0" borderId="6" xfId="0" applyBorder="1"/>
    <xf numFmtId="0" fontId="0" fillId="0" borderId="5" xfId="0" applyBorder="1"/>
    <xf numFmtId="0" fontId="2" fillId="3" borderId="7" xfId="0" applyFont="1" applyFill="1" applyBorder="1" applyAlignment="1">
      <alignment horizontal="left" vertical="center"/>
    </xf>
    <xf numFmtId="0" fontId="2" fillId="3" borderId="7" xfId="0" applyFont="1" applyFill="1" applyBorder="1" applyAlignment="1">
      <alignment vertical="center"/>
    </xf>
    <xf numFmtId="0" fontId="2" fillId="3" borderId="7" xfId="0" applyFont="1" applyFill="1" applyBorder="1" applyAlignment="1">
      <alignment vertical="center" wrapText="1"/>
    </xf>
    <xf numFmtId="0" fontId="0" fillId="7" borderId="0" xfId="0" applyFill="1" applyAlignment="1">
      <alignment vertical="center" wrapText="1"/>
    </xf>
    <xf numFmtId="0" fontId="0" fillId="7" borderId="0" xfId="0" applyFill="1" applyAlignment="1">
      <alignment horizontal="left" vertical="center"/>
    </xf>
    <xf numFmtId="0" fontId="0" fillId="5" borderId="8" xfId="0" applyFill="1" applyBorder="1" applyAlignment="1">
      <alignment vertical="center" wrapText="1"/>
    </xf>
    <xf numFmtId="49" fontId="0" fillId="5" borderId="8" xfId="0" applyNumberFormat="1" applyFill="1" applyBorder="1" applyAlignment="1">
      <alignment horizontal="center" vertical="center"/>
    </xf>
    <xf numFmtId="49" fontId="0" fillId="7" borderId="0" xfId="0" applyNumberFormat="1" applyFont="1" applyFill="1" applyAlignment="1">
      <alignment horizontal="left" vertical="center"/>
    </xf>
    <xf numFmtId="49" fontId="0" fillId="7" borderId="0" xfId="0" applyNumberFormat="1" applyFill="1" applyAlignment="1">
      <alignment horizontal="center" vertical="center" wrapText="1"/>
    </xf>
    <xf numFmtId="49" fontId="0" fillId="7" borderId="0" xfId="0" applyNumberFormat="1" applyFill="1" applyAlignment="1">
      <alignment horizontal="left" vertical="center"/>
    </xf>
    <xf numFmtId="0" fontId="0" fillId="5" borderId="8" xfId="0" applyFill="1" applyBorder="1" applyAlignment="1">
      <alignment vertical="center"/>
    </xf>
    <xf numFmtId="0" fontId="0" fillId="0" borderId="0" xfId="0" applyFill="1" applyAlignment="1">
      <alignment vertical="center"/>
    </xf>
    <xf numFmtId="0" fontId="2" fillId="3" borderId="0" xfId="0" applyFont="1" applyFill="1" applyBorder="1" applyAlignment="1">
      <alignment horizontal="left" vertical="center" wrapText="1"/>
    </xf>
    <xf numFmtId="49" fontId="2" fillId="3" borderId="0" xfId="0" applyNumberFormat="1" applyFont="1" applyFill="1" applyBorder="1" applyAlignment="1">
      <alignment horizontal="center" vertical="center" wrapText="1"/>
    </xf>
    <xf numFmtId="0" fontId="7" fillId="7" borderId="0" xfId="0" applyFont="1" applyFill="1" applyAlignment="1">
      <alignment horizontal="left" vertical="center"/>
    </xf>
    <xf numFmtId="0" fontId="0" fillId="7" borderId="0" xfId="0" applyFill="1" applyAlignment="1">
      <alignment horizontal="center" vertical="center"/>
    </xf>
    <xf numFmtId="0" fontId="3" fillId="5" borderId="0" xfId="0" applyFont="1" applyFill="1" applyAlignment="1">
      <alignment horizontal="left" vertical="center"/>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49" fontId="3" fillId="7" borderId="0" xfId="0" applyNumberFormat="1" applyFont="1" applyFill="1" applyAlignment="1">
      <alignment horizontal="center" vertical="center"/>
    </xf>
    <xf numFmtId="49" fontId="3" fillId="7" borderId="0" xfId="0" applyNumberFormat="1" applyFont="1" applyFill="1" applyAlignment="1">
      <alignment horizontal="center" vertical="center" wrapText="1"/>
    </xf>
    <xf numFmtId="49" fontId="3" fillId="7" borderId="0" xfId="0" applyNumberFormat="1" applyFont="1" applyFill="1" applyAlignment="1">
      <alignment horizontal="left" vertical="center"/>
    </xf>
    <xf numFmtId="0" fontId="0" fillId="6" borderId="1" xfId="0" applyFill="1" applyBorder="1" applyAlignment="1">
      <alignment horizontal="center" vertical="center" wrapText="1"/>
    </xf>
    <xf numFmtId="0" fontId="0" fillId="10" borderId="0" xfId="0" applyFill="1"/>
    <xf numFmtId="0" fontId="0" fillId="0" borderId="3" xfId="0" applyBorder="1" applyAlignment="1">
      <alignment wrapText="1"/>
    </xf>
    <xf numFmtId="0" fontId="2" fillId="9" borderId="4" xfId="0" applyFont="1" applyFill="1" applyBorder="1"/>
    <xf numFmtId="0" fontId="14" fillId="4" borderId="0" xfId="0" applyFont="1" applyFill="1" applyAlignment="1">
      <alignment vertical="center"/>
    </xf>
    <xf numFmtId="0" fontId="15" fillId="4" borderId="0" xfId="0" applyFont="1" applyFill="1" applyAlignment="1">
      <alignment vertical="center"/>
    </xf>
    <xf numFmtId="0" fontId="15" fillId="0" borderId="0" xfId="0" applyFont="1" applyAlignment="1">
      <alignment vertical="center"/>
    </xf>
    <xf numFmtId="0" fontId="10" fillId="0" borderId="4" xfId="0" applyFont="1" applyBorder="1" applyAlignment="1">
      <alignment wrapText="1"/>
    </xf>
    <xf numFmtId="0" fontId="10" fillId="0" borderId="0" xfId="0" applyFont="1" applyFill="1" applyBorder="1" applyAlignment="1">
      <alignment wrapText="1"/>
    </xf>
    <xf numFmtId="0" fontId="10" fillId="0" borderId="10" xfId="0" applyFont="1" applyBorder="1" applyAlignment="1"/>
    <xf numFmtId="0" fontId="10" fillId="0" borderId="3" xfId="0" applyFont="1" applyBorder="1" applyAlignment="1"/>
    <xf numFmtId="0" fontId="9" fillId="0" borderId="9" xfId="0" applyFont="1" applyBorder="1" applyAlignment="1">
      <alignment vertical="top" wrapText="1"/>
    </xf>
    <xf numFmtId="0" fontId="10" fillId="0" borderId="9" xfId="0" applyFont="1" applyBorder="1" applyAlignment="1"/>
    <xf numFmtId="0" fontId="0" fillId="0" borderId="11" xfId="0" applyBorder="1" applyAlignment="1">
      <alignment wrapText="1"/>
    </xf>
    <xf numFmtId="0" fontId="9" fillId="0" borderId="4" xfId="0" applyFont="1" applyBorder="1" applyAlignment="1">
      <alignment vertical="top"/>
    </xf>
    <xf numFmtId="0" fontId="0" fillId="0" borderId="12" xfId="0" applyBorder="1" applyAlignment="1">
      <alignment vertical="top" wrapText="1"/>
    </xf>
    <xf numFmtId="0" fontId="0" fillId="0" borderId="12" xfId="0" applyFill="1" applyBorder="1" applyAlignment="1">
      <alignment vertical="center" wrapText="1"/>
    </xf>
    <xf numFmtId="0" fontId="0" fillId="0" borderId="4" xfId="0" applyBorder="1" applyAlignment="1">
      <alignment vertical="center" wrapText="1"/>
    </xf>
    <xf numFmtId="0" fontId="0" fillId="7" borderId="0" xfId="0" applyFont="1" applyFill="1" applyBorder="1" applyAlignment="1">
      <alignment vertical="top" wrapText="1"/>
    </xf>
    <xf numFmtId="0" fontId="16" fillId="8" borderId="12" xfId="0" applyFont="1" applyFill="1" applyBorder="1"/>
    <xf numFmtId="0" fontId="0" fillId="5" borderId="3" xfId="0" applyFill="1" applyBorder="1"/>
    <xf numFmtId="0" fontId="0" fillId="5" borderId="0" xfId="0" applyFill="1"/>
    <xf numFmtId="0" fontId="2" fillId="3" borderId="17" xfId="0" applyFont="1" applyFill="1" applyBorder="1" applyAlignment="1">
      <alignment horizontal="left" vertical="center"/>
    </xf>
    <xf numFmtId="0" fontId="2" fillId="3" borderId="17" xfId="0" applyFont="1" applyFill="1" applyBorder="1" applyAlignment="1">
      <alignment vertical="center"/>
    </xf>
    <xf numFmtId="0" fontId="2" fillId="3" borderId="17" xfId="0" applyFont="1" applyFill="1" applyBorder="1" applyAlignment="1">
      <alignment vertical="center" wrapText="1"/>
    </xf>
    <xf numFmtId="0" fontId="4" fillId="5" borderId="8" xfId="0" applyFont="1" applyFill="1" applyBorder="1" applyAlignment="1">
      <alignment horizontal="left" vertical="center" wrapText="1"/>
    </xf>
    <xf numFmtId="0" fontId="0" fillId="6" borderId="8" xfId="0" applyFill="1" applyBorder="1" applyAlignment="1">
      <alignment horizontal="center" vertical="center" wrapText="1"/>
    </xf>
    <xf numFmtId="0" fontId="0" fillId="5" borderId="8" xfId="0" applyFill="1" applyBorder="1" applyAlignment="1">
      <alignment horizontal="left" vertical="center"/>
    </xf>
    <xf numFmtId="49" fontId="0" fillId="6" borderId="8" xfId="0" applyNumberFormat="1" applyFill="1" applyBorder="1" applyAlignment="1">
      <alignment horizontal="center" vertical="center" wrapText="1"/>
    </xf>
    <xf numFmtId="49" fontId="0" fillId="5" borderId="18" xfId="0" applyNumberFormat="1" applyFill="1" applyBorder="1" applyAlignment="1">
      <alignment horizontal="center" vertical="center"/>
    </xf>
    <xf numFmtId="0" fontId="0" fillId="5" borderId="18" xfId="0" applyFill="1" applyBorder="1" applyAlignment="1">
      <alignment vertical="center" wrapText="1"/>
    </xf>
    <xf numFmtId="0" fontId="0" fillId="6" borderId="18" xfId="0" applyFill="1" applyBorder="1" applyAlignment="1">
      <alignment horizontal="center" vertical="center"/>
    </xf>
    <xf numFmtId="0" fontId="4" fillId="5" borderId="18" xfId="0" applyFont="1" applyFill="1" applyBorder="1" applyAlignment="1">
      <alignment vertical="center" wrapText="1"/>
    </xf>
    <xf numFmtId="0" fontId="0" fillId="5" borderId="18" xfId="0" applyFill="1" applyBorder="1" applyAlignment="1">
      <alignment horizontal="center" vertical="center"/>
    </xf>
    <xf numFmtId="0" fontId="0" fillId="5" borderId="18" xfId="0" applyFill="1" applyBorder="1" applyAlignment="1">
      <alignment horizontal="center" vertical="center" wrapText="1"/>
    </xf>
    <xf numFmtId="49" fontId="0" fillId="7" borderId="19" xfId="0" applyNumberFormat="1" applyFill="1" applyBorder="1" applyAlignment="1">
      <alignment horizontal="left" vertical="center"/>
    </xf>
    <xf numFmtId="49" fontId="0" fillId="7" borderId="19" xfId="0" applyNumberFormat="1" applyFont="1" applyFill="1" applyBorder="1" applyAlignment="1">
      <alignment horizontal="left" vertical="center"/>
    </xf>
    <xf numFmtId="0" fontId="0" fillId="6" borderId="8" xfId="0" applyFill="1" applyBorder="1" applyAlignment="1">
      <alignment horizontal="center" vertical="center"/>
    </xf>
    <xf numFmtId="0" fontId="0" fillId="5" borderId="8" xfId="0" applyFill="1" applyBorder="1" applyAlignment="1">
      <alignment horizontal="left" vertical="center" wrapText="1"/>
    </xf>
    <xf numFmtId="0" fontId="0" fillId="5" borderId="8" xfId="0" applyFill="1" applyBorder="1" applyAlignment="1">
      <alignment horizontal="center" vertical="center" wrapText="1"/>
    </xf>
    <xf numFmtId="0" fontId="4" fillId="6" borderId="8" xfId="1" applyFont="1" applyFill="1" applyBorder="1" applyAlignment="1">
      <alignment horizontal="center" vertical="center" wrapText="1"/>
    </xf>
    <xf numFmtId="0" fontId="3" fillId="5" borderId="8" xfId="0" applyFont="1" applyFill="1" applyBorder="1" applyAlignment="1">
      <alignment vertical="center" wrapText="1"/>
    </xf>
    <xf numFmtId="0" fontId="12" fillId="5" borderId="8" xfId="0" applyFont="1" applyFill="1" applyBorder="1" applyAlignment="1">
      <alignment horizontal="left" vertical="center" wrapText="1"/>
    </xf>
    <xf numFmtId="0" fontId="13" fillId="0" borderId="8" xfId="0" applyFont="1" applyFill="1" applyBorder="1" applyAlignment="1">
      <alignment vertical="center" wrapText="1"/>
    </xf>
    <xf numFmtId="49" fontId="0" fillId="5" borderId="20" xfId="0" applyNumberFormat="1" applyFill="1" applyBorder="1" applyAlignment="1">
      <alignment horizontal="center" vertical="center"/>
    </xf>
    <xf numFmtId="0" fontId="0" fillId="5" borderId="20" xfId="0" applyFill="1" applyBorder="1" applyAlignment="1">
      <alignment vertical="center"/>
    </xf>
    <xf numFmtId="0" fontId="0" fillId="5" borderId="20" xfId="0" applyFill="1" applyBorder="1" applyAlignment="1">
      <alignment vertical="center" wrapText="1"/>
    </xf>
    <xf numFmtId="49" fontId="0" fillId="7" borderId="0" xfId="0" applyNumberFormat="1" applyFill="1" applyBorder="1" applyAlignment="1">
      <alignment horizontal="left" vertical="center"/>
    </xf>
    <xf numFmtId="49" fontId="0" fillId="7" borderId="0" xfId="0" applyNumberFormat="1" applyFill="1" applyBorder="1" applyAlignment="1">
      <alignment horizontal="left" vertical="center" wrapText="1"/>
    </xf>
    <xf numFmtId="49" fontId="0" fillId="7" borderId="0" xfId="0" applyNumberFormat="1" applyFill="1" applyBorder="1" applyAlignment="1">
      <alignment horizontal="center" vertical="center"/>
    </xf>
    <xf numFmtId="49" fontId="0" fillId="7" borderId="0" xfId="0" applyNumberFormat="1" applyFill="1" applyBorder="1" applyAlignment="1">
      <alignment horizontal="center" vertical="center" wrapText="1"/>
    </xf>
    <xf numFmtId="0" fontId="0" fillId="0" borderId="20" xfId="0" applyBorder="1" applyAlignment="1">
      <alignment horizontal="center"/>
    </xf>
    <xf numFmtId="49" fontId="0" fillId="5" borderId="21" xfId="0" applyNumberFormat="1" applyFill="1" applyBorder="1" applyAlignment="1">
      <alignment horizontal="center" vertical="center"/>
    </xf>
    <xf numFmtId="0" fontId="0" fillId="5" borderId="21" xfId="0" applyFill="1" applyBorder="1" applyAlignment="1">
      <alignment vertical="center"/>
    </xf>
    <xf numFmtId="0" fontId="0" fillId="5" borderId="21" xfId="0" applyFill="1" applyBorder="1" applyAlignment="1">
      <alignment vertical="center" wrapText="1"/>
    </xf>
    <xf numFmtId="0" fontId="5" fillId="0" borderId="21" xfId="2" applyBorder="1" applyAlignment="1">
      <alignment horizontal="center" wrapText="1"/>
    </xf>
    <xf numFmtId="0" fontId="0" fillId="7" borderId="0" xfId="0" applyFill="1" applyAlignment="1">
      <alignment vertical="top"/>
    </xf>
    <xf numFmtId="14" fontId="0" fillId="7" borderId="0" xfId="0" applyNumberFormat="1" applyFill="1" applyAlignment="1">
      <alignment horizontal="left" vertical="top"/>
    </xf>
    <xf numFmtId="0" fontId="0" fillId="7" borderId="0" xfId="0" applyFill="1" applyBorder="1" applyAlignment="1">
      <alignment vertical="top"/>
    </xf>
    <xf numFmtId="0" fontId="3" fillId="7" borderId="0" xfId="0" applyFont="1" applyFill="1" applyBorder="1" applyAlignment="1">
      <alignment vertical="top" wrapText="1"/>
    </xf>
    <xf numFmtId="0" fontId="0" fillId="0" borderId="0" xfId="0" applyAlignment="1">
      <alignment vertical="top"/>
    </xf>
    <xf numFmtId="0" fontId="0" fillId="0" borderId="0" xfId="0" applyAlignment="1">
      <alignment vertical="center" wrapText="1"/>
    </xf>
    <xf numFmtId="0" fontId="2" fillId="3"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6" borderId="2" xfId="0" applyFill="1" applyBorder="1" applyAlignment="1">
      <alignment vertical="center" wrapText="1"/>
    </xf>
    <xf numFmtId="0" fontId="0" fillId="0" borderId="2" xfId="0" applyBorder="1" applyAlignment="1">
      <alignment horizontal="center" vertical="center" wrapText="1"/>
    </xf>
    <xf numFmtId="0" fontId="0" fillId="6" borderId="2" xfId="0" applyFill="1" applyBorder="1" applyAlignment="1">
      <alignment horizontal="center" vertical="center" wrapText="1"/>
    </xf>
    <xf numFmtId="0" fontId="0" fillId="0" borderId="1" xfId="0" applyBorder="1" applyAlignment="1">
      <alignment horizontal="left" vertical="center" wrapText="1"/>
    </xf>
    <xf numFmtId="0" fontId="0" fillId="6" borderId="1" xfId="0" applyFill="1"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7" borderId="0" xfId="0" applyFont="1" applyFill="1" applyBorder="1" applyAlignment="1">
      <alignment horizontal="left" vertical="center"/>
    </xf>
    <xf numFmtId="0" fontId="16" fillId="8" borderId="13" xfId="0" applyFont="1" applyFill="1" applyBorder="1" applyAlignment="1">
      <alignment horizontal="left"/>
    </xf>
    <xf numFmtId="0" fontId="16" fillId="8" borderId="14" xfId="0" applyFont="1" applyFill="1" applyBorder="1" applyAlignment="1">
      <alignment horizontal="left"/>
    </xf>
    <xf numFmtId="0" fontId="16" fillId="8" borderId="15" xfId="0" applyFont="1" applyFill="1" applyBorder="1" applyAlignment="1">
      <alignment horizontal="center"/>
    </xf>
    <xf numFmtId="0" fontId="16" fillId="8" borderId="16" xfId="0" applyFont="1" applyFill="1" applyBorder="1" applyAlignment="1">
      <alignment horizontal="center"/>
    </xf>
  </cellXfs>
  <cellStyles count="3">
    <cellStyle name="God" xfId="1" builtinId="26"/>
    <cellStyle name="Hyperkobling" xfId="2" builtinId="8"/>
    <cellStyle name="Normal" xfId="0" builtinId="0"/>
  </cellStyles>
  <dxfs count="3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F6699"/>
      <color rgb="FFD2E5E6"/>
      <color rgb="FF606062"/>
      <color rgb="FFC646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35</xdr:row>
          <xdr:rowOff>28575</xdr:rowOff>
        </xdr:from>
        <xdr:to>
          <xdr:col>5</xdr:col>
          <xdr:colOff>0</xdr:colOff>
          <xdr:row>36</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Legg til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95250</xdr:rowOff>
        </xdr:from>
        <xdr:to>
          <xdr:col>4</xdr:col>
          <xdr:colOff>295275</xdr:colOff>
          <xdr:row>11</xdr:row>
          <xdr:rowOff>476250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Klippet skal testast (Hurtigutfylling)</a:t>
              </a:r>
            </a:p>
          </xdr:txBody>
        </xdr:sp>
        <xdr:clientData fPrintsWithSheet="0"/>
      </xdr:twoCellAnchor>
    </mc:Choice>
    <mc:Fallback/>
  </mc:AlternateContent>
  <xdr:twoCellAnchor editAs="oneCell">
    <xdr:from>
      <xdr:col>3</xdr:col>
      <xdr:colOff>47625</xdr:colOff>
      <xdr:row>1</xdr:row>
      <xdr:rowOff>361950</xdr:rowOff>
    </xdr:from>
    <xdr:to>
      <xdr:col>4</xdr:col>
      <xdr:colOff>666750</xdr:colOff>
      <xdr:row>1</xdr:row>
      <xdr:rowOff>857250</xdr:rowOff>
    </xdr:to>
    <xdr:pic>
      <xdr:nvPicPr>
        <xdr:cNvPr id="4" name="Bilde 3" descr="Difi-logo">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72450" y="742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22656"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42</xdr:row>
      <xdr:rowOff>0</xdr:rowOff>
    </xdr:from>
    <xdr:to>
      <xdr:col>0</xdr:col>
      <xdr:colOff>1924050</xdr:colOff>
      <xdr:row>44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669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36"/>
  <sheetViews>
    <sheetView showGridLines="0" tabSelected="1" zoomScaleNormal="100" workbookViewId="0">
      <selection activeCell="D15" sqref="D15"/>
    </sheetView>
  </sheetViews>
  <sheetFormatPr baseColWidth="10" defaultColWidth="11.5703125" defaultRowHeight="15" x14ac:dyDescent="0.25"/>
  <cols>
    <col min="1" max="1" width="6.5703125" style="1" customWidth="1"/>
    <col min="2" max="2" width="53.5703125" style="1" customWidth="1"/>
    <col min="3" max="3" width="61.7109375" style="1" customWidth="1"/>
    <col min="4" max="4" width="19.5703125" style="1" bestFit="1" customWidth="1"/>
    <col min="5" max="5" width="15.5703125" style="1" customWidth="1"/>
    <col min="6" max="16384" width="11.5703125" style="1"/>
  </cols>
  <sheetData>
    <row r="1" spans="1:5" s="61" customFormat="1" ht="30" customHeight="1" x14ac:dyDescent="0.25">
      <c r="A1" s="59" t="s">
        <v>185</v>
      </c>
      <c r="B1" s="60"/>
      <c r="C1" s="60"/>
      <c r="D1" s="60"/>
      <c r="E1" s="60"/>
    </row>
    <row r="2" spans="1:5" s="115" customFormat="1" ht="315" x14ac:dyDescent="0.25">
      <c r="A2" s="113" t="s">
        <v>9</v>
      </c>
      <c r="B2" s="114" t="s">
        <v>26</v>
      </c>
      <c r="C2" s="73" t="s">
        <v>183</v>
      </c>
      <c r="D2" s="111" t="s">
        <v>186</v>
      </c>
      <c r="E2" s="112">
        <v>42993</v>
      </c>
    </row>
    <row r="3" spans="1:5" ht="30" customHeight="1" x14ac:dyDescent="0.25">
      <c r="A3" s="16" t="s">
        <v>4</v>
      </c>
      <c r="B3" s="15"/>
      <c r="C3" s="15"/>
      <c r="D3" s="15"/>
      <c r="E3" s="15"/>
    </row>
    <row r="4" spans="1:5" ht="39" customHeight="1" x14ac:dyDescent="0.25">
      <c r="A4" s="77" t="s">
        <v>168</v>
      </c>
      <c r="B4" s="78" t="s">
        <v>23</v>
      </c>
      <c r="C4" s="78" t="s">
        <v>20</v>
      </c>
      <c r="D4" s="79" t="s">
        <v>8</v>
      </c>
      <c r="E4" s="77" t="s">
        <v>19</v>
      </c>
    </row>
    <row r="5" spans="1:5" ht="30" customHeight="1" x14ac:dyDescent="0.25">
      <c r="A5" s="38" t="s">
        <v>1</v>
      </c>
      <c r="B5" s="42" t="s">
        <v>22</v>
      </c>
      <c r="C5" s="42"/>
      <c r="D5" s="37"/>
      <c r="E5" s="80"/>
    </row>
    <row r="6" spans="1:5" ht="186" customHeight="1" x14ac:dyDescent="0.25">
      <c r="A6" s="38" t="s">
        <v>2</v>
      </c>
      <c r="B6" s="37" t="s">
        <v>92</v>
      </c>
      <c r="C6" s="37" t="s">
        <v>68</v>
      </c>
      <c r="D6" s="37"/>
      <c r="E6" s="80"/>
    </row>
    <row r="7" spans="1:5" ht="45" x14ac:dyDescent="0.25">
      <c r="A7" s="38" t="s">
        <v>17</v>
      </c>
      <c r="B7" s="37" t="s">
        <v>188</v>
      </c>
      <c r="C7" s="37"/>
      <c r="D7" s="81"/>
      <c r="E7" s="82"/>
    </row>
    <row r="8" spans="1:5" ht="30" customHeight="1" x14ac:dyDescent="0.25">
      <c r="A8" s="38" t="s">
        <v>18</v>
      </c>
      <c r="B8" s="42" t="s">
        <v>41</v>
      </c>
      <c r="C8" s="42"/>
      <c r="D8" s="81"/>
      <c r="E8" s="80"/>
    </row>
    <row r="9" spans="1:5" ht="30" customHeight="1" x14ac:dyDescent="0.25">
      <c r="A9" s="38" t="s">
        <v>34</v>
      </c>
      <c r="B9" s="37" t="s">
        <v>42</v>
      </c>
      <c r="C9" s="37" t="s">
        <v>43</v>
      </c>
      <c r="D9" s="83"/>
      <c r="E9" s="80"/>
    </row>
    <row r="10" spans="1:5" ht="30" customHeight="1" x14ac:dyDescent="0.25">
      <c r="A10" s="20" t="s">
        <v>45</v>
      </c>
      <c r="B10" s="15"/>
      <c r="C10" s="15"/>
      <c r="D10" s="35"/>
      <c r="E10" s="36"/>
    </row>
    <row r="11" spans="1:5" ht="39" customHeight="1" x14ac:dyDescent="0.25">
      <c r="A11" s="32" t="s">
        <v>168</v>
      </c>
      <c r="B11" s="33" t="s">
        <v>23</v>
      </c>
      <c r="C11" s="33" t="s">
        <v>20</v>
      </c>
      <c r="D11" s="34" t="s">
        <v>8</v>
      </c>
      <c r="E11" s="32" t="s">
        <v>19</v>
      </c>
    </row>
    <row r="12" spans="1:5" ht="41.25" customHeight="1" x14ac:dyDescent="0.25">
      <c r="A12" s="39" t="s">
        <v>48</v>
      </c>
      <c r="B12" s="19"/>
      <c r="C12" s="19"/>
      <c r="D12" s="40"/>
      <c r="E12" s="41"/>
    </row>
    <row r="13" spans="1:5" ht="90" x14ac:dyDescent="0.25">
      <c r="A13" s="84" t="s">
        <v>3</v>
      </c>
      <c r="B13" s="85" t="s">
        <v>170</v>
      </c>
      <c r="C13" s="85" t="s">
        <v>47</v>
      </c>
      <c r="D13" s="86"/>
      <c r="E13" s="87"/>
    </row>
    <row r="14" spans="1:5" ht="144.6" customHeight="1" x14ac:dyDescent="0.25">
      <c r="A14" s="84" t="s">
        <v>5</v>
      </c>
      <c r="B14" s="85" t="s">
        <v>171</v>
      </c>
      <c r="C14" s="85" t="s">
        <v>119</v>
      </c>
      <c r="D14" s="86"/>
      <c r="E14" s="88"/>
    </row>
    <row r="15" spans="1:5" ht="272.64999999999998" customHeight="1" x14ac:dyDescent="0.25">
      <c r="A15" s="84" t="s">
        <v>33</v>
      </c>
      <c r="B15" s="85" t="s">
        <v>172</v>
      </c>
      <c r="C15" s="85" t="s">
        <v>114</v>
      </c>
      <c r="D15" s="86"/>
      <c r="E15" s="89" t="s">
        <v>55</v>
      </c>
    </row>
    <row r="16" spans="1:5" ht="30" customHeight="1" x14ac:dyDescent="0.25">
      <c r="A16" s="20" t="s">
        <v>169</v>
      </c>
      <c r="B16" s="15"/>
      <c r="C16" s="15"/>
      <c r="D16" s="35"/>
      <c r="E16" s="36"/>
    </row>
    <row r="17" spans="1:5" ht="39" customHeight="1" x14ac:dyDescent="0.25">
      <c r="A17" s="77" t="s">
        <v>168</v>
      </c>
      <c r="B17" s="78" t="s">
        <v>23</v>
      </c>
      <c r="C17" s="78" t="s">
        <v>20</v>
      </c>
      <c r="D17" s="79" t="s">
        <v>8</v>
      </c>
      <c r="E17" s="77" t="s">
        <v>19</v>
      </c>
    </row>
    <row r="18" spans="1:5" s="43" customFormat="1" ht="30" customHeight="1" x14ac:dyDescent="0.25">
      <c r="A18" s="102" t="s">
        <v>52</v>
      </c>
      <c r="B18" s="103"/>
      <c r="C18" s="104"/>
      <c r="D18" s="105"/>
      <c r="E18" s="102"/>
    </row>
    <row r="19" spans="1:5" ht="27.75" customHeight="1" x14ac:dyDescent="0.25">
      <c r="A19" s="107" t="s">
        <v>29</v>
      </c>
      <c r="B19" s="108" t="s">
        <v>49</v>
      </c>
      <c r="C19" s="109" t="s">
        <v>46</v>
      </c>
      <c r="D19" s="110"/>
      <c r="E19" s="108"/>
    </row>
    <row r="20" spans="1:5" ht="30" x14ac:dyDescent="0.25">
      <c r="A20" s="99" t="s">
        <v>30</v>
      </c>
      <c r="B20" s="101" t="s">
        <v>50</v>
      </c>
      <c r="C20" s="101" t="s">
        <v>51</v>
      </c>
      <c r="D20" s="106"/>
      <c r="E20" s="100"/>
    </row>
    <row r="21" spans="1:5" ht="45" x14ac:dyDescent="0.25">
      <c r="A21" s="84" t="s">
        <v>31</v>
      </c>
      <c r="B21" s="85" t="s">
        <v>184</v>
      </c>
      <c r="C21" s="85" t="s">
        <v>121</v>
      </c>
      <c r="D21" s="86"/>
      <c r="E21" s="89" t="s">
        <v>27</v>
      </c>
    </row>
    <row r="22" spans="1:5" ht="150" x14ac:dyDescent="0.25">
      <c r="A22" s="84" t="s">
        <v>32</v>
      </c>
      <c r="B22" s="85" t="s">
        <v>173</v>
      </c>
      <c r="C22" s="85" t="s">
        <v>122</v>
      </c>
      <c r="D22" s="86"/>
      <c r="E22" s="89" t="s">
        <v>28</v>
      </c>
    </row>
    <row r="23" spans="1:5" ht="120" x14ac:dyDescent="0.25">
      <c r="A23" s="84" t="s">
        <v>44</v>
      </c>
      <c r="B23" s="85" t="s">
        <v>174</v>
      </c>
      <c r="C23" s="85" t="s">
        <v>70</v>
      </c>
      <c r="D23" s="86"/>
      <c r="E23" s="89" t="s">
        <v>69</v>
      </c>
    </row>
    <row r="24" spans="1:5" ht="180" x14ac:dyDescent="0.25">
      <c r="A24" s="84" t="s">
        <v>53</v>
      </c>
      <c r="B24" s="85" t="s">
        <v>175</v>
      </c>
      <c r="C24" s="85" t="s">
        <v>117</v>
      </c>
      <c r="D24" s="86"/>
      <c r="E24" s="89" t="s">
        <v>67</v>
      </c>
    </row>
    <row r="25" spans="1:5" ht="130.5" customHeight="1" x14ac:dyDescent="0.25">
      <c r="A25" s="84" t="s">
        <v>54</v>
      </c>
      <c r="B25" s="85" t="s">
        <v>176</v>
      </c>
      <c r="C25" s="85" t="s">
        <v>115</v>
      </c>
      <c r="D25" s="86"/>
      <c r="E25" s="89"/>
    </row>
    <row r="26" spans="1:5" ht="30" customHeight="1" x14ac:dyDescent="0.25">
      <c r="A26" s="90" t="s">
        <v>89</v>
      </c>
      <c r="B26" s="52"/>
      <c r="C26" s="52"/>
      <c r="D26" s="53"/>
      <c r="E26" s="54"/>
    </row>
    <row r="27" spans="1:5" ht="135" x14ac:dyDescent="0.25">
      <c r="A27" s="38" t="s">
        <v>75</v>
      </c>
      <c r="B27" s="37" t="s">
        <v>177</v>
      </c>
      <c r="C27" s="37" t="s">
        <v>120</v>
      </c>
      <c r="D27" s="81"/>
      <c r="E27" s="82"/>
    </row>
    <row r="28" spans="1:5" ht="224.25" customHeight="1" x14ac:dyDescent="0.25">
      <c r="A28" s="38" t="s">
        <v>76</v>
      </c>
      <c r="B28" s="37" t="s">
        <v>178</v>
      </c>
      <c r="C28" s="37" t="s">
        <v>74</v>
      </c>
      <c r="D28" s="92"/>
      <c r="E28" s="93"/>
    </row>
    <row r="29" spans="1:5" ht="165" x14ac:dyDescent="0.25">
      <c r="A29" s="38" t="s">
        <v>77</v>
      </c>
      <c r="B29" s="37" t="s">
        <v>179</v>
      </c>
      <c r="C29" s="37" t="s">
        <v>118</v>
      </c>
      <c r="D29" s="92"/>
      <c r="E29" s="94" t="s">
        <v>95</v>
      </c>
    </row>
    <row r="30" spans="1:5" ht="30" customHeight="1" x14ac:dyDescent="0.25">
      <c r="A30" s="91" t="s">
        <v>73</v>
      </c>
      <c r="B30" s="49"/>
      <c r="C30" s="50"/>
      <c r="D30" s="51"/>
      <c r="E30" s="39"/>
    </row>
    <row r="31" spans="1:5" ht="130.5" customHeight="1" x14ac:dyDescent="0.25">
      <c r="A31" s="38" t="s">
        <v>78</v>
      </c>
      <c r="B31" s="37" t="s">
        <v>180</v>
      </c>
      <c r="C31" s="37" t="s">
        <v>123</v>
      </c>
      <c r="D31" s="95"/>
      <c r="E31" s="82"/>
    </row>
    <row r="32" spans="1:5" ht="130.5" customHeight="1" x14ac:dyDescent="0.25">
      <c r="A32" s="38" t="s">
        <v>81</v>
      </c>
      <c r="B32" s="37" t="s">
        <v>124</v>
      </c>
      <c r="C32" s="96" t="s">
        <v>79</v>
      </c>
      <c r="D32" s="95"/>
      <c r="E32" s="82"/>
    </row>
    <row r="33" spans="1:5" ht="180" x14ac:dyDescent="0.25">
      <c r="A33" s="38" t="s">
        <v>82</v>
      </c>
      <c r="B33" s="37" t="s">
        <v>181</v>
      </c>
      <c r="C33" s="37" t="s">
        <v>74</v>
      </c>
      <c r="D33" s="92"/>
      <c r="E33" s="93"/>
    </row>
    <row r="34" spans="1:5" ht="270" customHeight="1" x14ac:dyDescent="0.25">
      <c r="A34" s="38" t="s">
        <v>90</v>
      </c>
      <c r="B34" s="37" t="s">
        <v>116</v>
      </c>
      <c r="C34" s="37" t="s">
        <v>91</v>
      </c>
      <c r="D34" s="92"/>
      <c r="E34" s="94" t="s">
        <v>95</v>
      </c>
    </row>
    <row r="35" spans="1:5" ht="75" x14ac:dyDescent="0.25">
      <c r="A35" s="38" t="s">
        <v>93</v>
      </c>
      <c r="B35" s="97" t="s">
        <v>182</v>
      </c>
      <c r="C35" s="37" t="s">
        <v>94</v>
      </c>
      <c r="D35" s="98"/>
      <c r="E35" s="80"/>
    </row>
    <row r="36" spans="1:5" ht="30" customHeight="1" x14ac:dyDescent="0.25">
      <c r="A36" s="20" t="s">
        <v>72</v>
      </c>
      <c r="B36" s="15"/>
      <c r="C36" s="15"/>
      <c r="D36" s="35"/>
      <c r="E36" s="36"/>
    </row>
  </sheetData>
  <customSheetViews>
    <customSheetView guid="{A9A16196-6861-4A6C-AAFE-6C81857751A4}" scale="90" showGridLines="0" fitToPage="1" hiddenRows="1" topLeftCell="A23">
      <selection activeCell="D24" sqref="D24"/>
      <pageMargins left="0.11811023622047245" right="0.11811023622047245" top="0.35433070866141736" bottom="0.35433070866141736" header="0.11811023622047245" footer="0.11811023622047245"/>
      <pageSetup paperSize="9" scale="45" fitToHeight="0" orientation="landscape" r:id="rId1"/>
      <headerFooter>
        <oddFooter>&amp;C&amp;8Side &amp;P av &amp;N</oddFooter>
      </headerFooter>
    </customSheetView>
  </customSheetViews>
  <conditionalFormatting sqref="D7">
    <cfRule type="expression" dxfId="34" priority="60">
      <formula>#REF!="Nei"</formula>
    </cfRule>
  </conditionalFormatting>
  <conditionalFormatting sqref="D7">
    <cfRule type="expression" dxfId="33" priority="61">
      <formula>s2.4="Ja"</formula>
    </cfRule>
  </conditionalFormatting>
  <conditionalFormatting sqref="D8:D9">
    <cfRule type="expression" dxfId="32" priority="17">
      <formula>$D$7="nei"</formula>
    </cfRule>
  </conditionalFormatting>
  <conditionalFormatting sqref="D13">
    <cfRule type="expression" dxfId="31" priority="16">
      <formula>$D$7="nei"</formula>
    </cfRule>
  </conditionalFormatting>
  <conditionalFormatting sqref="D14">
    <cfRule type="expression" dxfId="30" priority="15">
      <formula>OR($D$7="nei",$D$13="nei")</formula>
    </cfRule>
  </conditionalFormatting>
  <conditionalFormatting sqref="D15">
    <cfRule type="expression" dxfId="29" priority="14">
      <formula>OR($D$7="nei",$D$13="nei",$D$14="nei")</formula>
    </cfRule>
  </conditionalFormatting>
  <conditionalFormatting sqref="D19:D21">
    <cfRule type="expression" dxfId="28" priority="13">
      <formula>OR($D$7="nei",$D$13="nei",$D$14="nei",$D$15="ja")</formula>
    </cfRule>
  </conditionalFormatting>
  <conditionalFormatting sqref="D22">
    <cfRule type="expression" dxfId="27" priority="12">
      <formula>OR($D$7="nei",$D$13="nei",$D$14="nei",$D$15="ja",$D$21="ja")</formula>
    </cfRule>
  </conditionalFormatting>
  <conditionalFormatting sqref="D23">
    <cfRule type="expression" dxfId="26" priority="11">
      <formula>OR($D$7="nei",$D$13="nei",$D$14="nei",$D$15="ja",$D$22="nei")</formula>
    </cfRule>
  </conditionalFormatting>
  <conditionalFormatting sqref="D24">
    <cfRule type="expression" dxfId="25" priority="10">
      <formula>OR($D$7="nei",$D$13="nei",$D$14="nei",$D$15="ja",$D$22="nei",$D$23="nei")</formula>
    </cfRule>
  </conditionalFormatting>
  <conditionalFormatting sqref="D25">
    <cfRule type="expression" dxfId="24" priority="9">
      <formula>OR($D$7="nei",$D$13="nei",$D$14="nei",$D$15="ja",$D$22="nei",$D$23="nei",$D$24="nei")</formula>
    </cfRule>
  </conditionalFormatting>
  <conditionalFormatting sqref="D27">
    <cfRule type="expression" dxfId="23" priority="7">
      <formula>OR($D$7="nei",$D$13="nei",$D$14="nei",$D$15="ja",$D$25="nei")</formula>
    </cfRule>
  </conditionalFormatting>
  <conditionalFormatting sqref="D29">
    <cfRule type="expression" dxfId="22" priority="6">
      <formula>OR($D$7="nei",$D$13="nei",$D$14="nei",$D$15="ja",$D$25="nei",$D$27="nei",$D$28="nei")</formula>
    </cfRule>
  </conditionalFormatting>
  <conditionalFormatting sqref="D28">
    <cfRule type="expression" dxfId="21" priority="5">
      <formula>OR($D$7="nei",$D$13="nei",$D$14="nei",$D$15="ja",$D$25="nei",$D$27="nei")</formula>
    </cfRule>
  </conditionalFormatting>
  <conditionalFormatting sqref="D31">
    <cfRule type="expression" dxfId="20" priority="4">
      <formula>OR($D$7="nei",$D$13="nei",$D$14="nei",$D$15="ja",$D$25="nei",$D$29="ja")</formula>
    </cfRule>
  </conditionalFormatting>
  <conditionalFormatting sqref="D32:D33">
    <cfRule type="expression" dxfId="19" priority="3">
      <formula>OR($D$7="nei",$D$13="nei",$D$14="nei",$D$15="ja",$D$25="nei",$D$29="ja",$D$31="nei")</formula>
    </cfRule>
  </conditionalFormatting>
  <conditionalFormatting sqref="D34">
    <cfRule type="expression" dxfId="18" priority="2">
      <formula>OR($D$7="nei",$D$13="nei",$D$14="nei",$D$15="ja",$D$25="nei",$D$29="ja",$D$31="nei",$D$33="nei")</formula>
    </cfRule>
  </conditionalFormatting>
  <conditionalFormatting sqref="D35">
    <cfRule type="expression" dxfId="17" priority="1">
      <formula>OR($D$7="nei",$D$13="nei",$D$14="nei",$D$15="ja")</formula>
    </cfRule>
  </conditionalFormatting>
  <dataValidations count="3">
    <dataValidation allowBlank="1" showInputMessage="1" showErrorMessage="1" errorTitle="Spørsmål 2.4" error="Svar Ja eller Nei" sqref="D18 D30 D26"/>
    <dataValidation type="list" allowBlank="1" showInputMessage="1" showErrorMessage="1" errorTitle="Spørsmål 2.7" error="Svar Ja eller Nei" sqref="D18 D30 D26">
      <formula1>"Ja,Nei"</formula1>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64" fitToHeight="0" orientation="landscape" r:id="rId2"/>
  <headerFooter>
    <oddFooter>&amp;C&amp;8Side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9" r:id="rId5" name="Button 11">
              <controlPr defaultSize="0" print="0" autoFill="0" autoPict="0" macro="[0]!Knapp2_Klikk">
                <anchor moveWithCells="1" sizeWithCells="1">
                  <from>
                    <xdr:col>4</xdr:col>
                    <xdr:colOff>19050</xdr:colOff>
                    <xdr:row>35</xdr:row>
                    <xdr:rowOff>28575</xdr:rowOff>
                  </from>
                  <to>
                    <xdr:col>5</xdr:col>
                    <xdr:colOff>0</xdr:colOff>
                    <xdr:row>36</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ok_klipp">
                <anchor moveWithCells="1" sizeWithCells="1">
                  <from>
                    <xdr:col>3</xdr:col>
                    <xdr:colOff>0</xdr:colOff>
                    <xdr:row>11</xdr:row>
                    <xdr:rowOff>95250</xdr:rowOff>
                  </from>
                  <to>
                    <xdr:col>4</xdr:col>
                    <xdr:colOff>295275</xdr:colOff>
                    <xdr:row>11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14:formula1>
            <xm:f>Logikk!$E$3:$E$8</xm:f>
          </x14:formula1>
          <xm:sqref>D8</xm:sqref>
        </x14:dataValidation>
        <x14:dataValidation type="list" allowBlank="1" showInputMessage="1" showErrorMessage="1" errorTitle="Spørsmål 2.7" error="Svar Ja eller Nei">
          <x14:formula1>
            <xm:f>Logikk!$D$3:$D$4</xm:f>
          </x14:formula1>
          <xm:sqref>D13:D15 D21:D25 D31 D33:D34 D27:D29 D7</xm:sqref>
        </x14:dataValidation>
        <x14:dataValidation type="list" allowBlank="1" showInputMessage="1" showErrorMessage="1">
          <x14:formula1>
            <xm:f>Logikk!$E$11:$E$15</xm:f>
          </x14:formula1>
          <xm:sqref>D32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S75"/>
  <sheetViews>
    <sheetView showGridLines="0" zoomScaleNormal="100" workbookViewId="0">
      <selection activeCell="A35" sqref="A35"/>
    </sheetView>
  </sheetViews>
  <sheetFormatPr baseColWidth="10" defaultColWidth="11.5703125" defaultRowHeight="15" outlineLevelRow="1" x14ac:dyDescent="0.25"/>
  <cols>
    <col min="1" max="1" width="15" style="125" customWidth="1"/>
    <col min="2" max="2" width="23.7109375" style="116" customWidth="1"/>
    <col min="3" max="3" width="37.42578125" style="116" customWidth="1"/>
    <col min="4" max="4" width="14.28515625" style="116" customWidth="1"/>
    <col min="5" max="5" width="56.7109375" style="116" customWidth="1"/>
    <col min="6" max="6" width="50.5703125" style="125" customWidth="1"/>
    <col min="7" max="7" width="18" style="116" customWidth="1"/>
    <col min="8" max="12" width="10.140625" style="126" customWidth="1"/>
    <col min="13" max="16384" width="11.5703125" style="116"/>
  </cols>
  <sheetData>
    <row r="1" spans="1:19" s="61" customFormat="1" ht="30" customHeight="1" x14ac:dyDescent="0.25">
      <c r="A1" s="59" t="str">
        <f>Registering!A1</f>
        <v>1.2.2 a Forhåndsinnspelt video med lyd har teksting</v>
      </c>
      <c r="B1" s="60"/>
      <c r="C1" s="60"/>
      <c r="D1" s="60"/>
      <c r="E1" s="60"/>
      <c r="F1" s="60"/>
      <c r="G1" s="60"/>
      <c r="H1" s="60"/>
      <c r="I1" s="60"/>
      <c r="J1" s="60"/>
      <c r="K1" s="60"/>
      <c r="L1" s="60"/>
      <c r="M1" s="60"/>
      <c r="N1" s="60"/>
      <c r="O1" s="60"/>
      <c r="P1" s="60"/>
      <c r="Q1" s="60"/>
      <c r="R1" s="60"/>
      <c r="S1" s="60"/>
    </row>
    <row r="2" spans="1:19" s="1" customFormat="1" ht="60" hidden="1" customHeight="1" outlineLevel="1" x14ac:dyDescent="0.25">
      <c r="A2" s="2" t="s">
        <v>9</v>
      </c>
      <c r="B2" s="127" t="str">
        <f>Registering!B2</f>
        <v>1.2.2 Teksting: Det gis tilgang til teksting for alt forhåndsinnspilt lydinnhold i synkroniserte medier, bortsett fra når mediene fungerer som mediealternativer til tekst og er tydelig merket som det.</v>
      </c>
      <c r="C2" s="127"/>
      <c r="D2" s="15"/>
      <c r="E2" s="15"/>
      <c r="F2" s="15"/>
      <c r="G2" s="15"/>
    </row>
    <row r="3" spans="1:19" s="1" customFormat="1" ht="30" customHeight="1" collapsed="1" x14ac:dyDescent="0.25">
      <c r="A3" s="46" t="s">
        <v>56</v>
      </c>
      <c r="B3" s="15"/>
      <c r="C3" s="15"/>
      <c r="D3" s="15"/>
      <c r="E3" s="15"/>
      <c r="F3" s="36"/>
      <c r="G3" s="15"/>
      <c r="H3" s="47"/>
      <c r="I3" s="47"/>
      <c r="J3" s="47"/>
      <c r="K3" s="47"/>
      <c r="L3" s="47"/>
      <c r="M3" s="15"/>
      <c r="N3" s="36"/>
      <c r="O3" s="15"/>
      <c r="P3" s="47"/>
      <c r="Q3" s="47"/>
      <c r="R3" s="47"/>
      <c r="S3" s="47"/>
    </row>
    <row r="4" spans="1:19" s="1" customFormat="1" x14ac:dyDescent="0.25">
      <c r="A4" s="48" t="s">
        <v>57</v>
      </c>
      <c r="B4" s="22"/>
      <c r="C4" s="23"/>
      <c r="D4" s="23"/>
      <c r="E4" s="15"/>
      <c r="F4" s="15"/>
      <c r="G4" s="15"/>
      <c r="H4" s="47"/>
      <c r="I4" s="47"/>
      <c r="J4" s="47"/>
      <c r="K4" s="47"/>
      <c r="L4" s="47"/>
      <c r="M4" s="15"/>
      <c r="N4" s="15"/>
      <c r="O4" s="15"/>
      <c r="P4" s="47"/>
      <c r="Q4" s="47"/>
      <c r="R4" s="47"/>
      <c r="S4" s="47"/>
    </row>
    <row r="5" spans="1:19" s="1" customFormat="1" x14ac:dyDescent="0.25">
      <c r="A5" s="23"/>
      <c r="B5" s="22" t="s">
        <v>58</v>
      </c>
      <c r="C5" s="18"/>
      <c r="D5" s="23"/>
      <c r="E5" s="15"/>
      <c r="F5" s="15"/>
      <c r="G5" s="15"/>
      <c r="H5" s="47"/>
      <c r="I5" s="47"/>
      <c r="J5" s="47"/>
      <c r="K5" s="47"/>
      <c r="L5" s="47"/>
      <c r="M5" s="15"/>
      <c r="N5" s="15"/>
      <c r="O5" s="15"/>
      <c r="P5" s="47"/>
      <c r="Q5" s="47"/>
      <c r="R5" s="47"/>
      <c r="S5" s="47"/>
    </row>
    <row r="6" spans="1:19" s="1" customFormat="1" x14ac:dyDescent="0.25">
      <c r="A6" s="23"/>
      <c r="B6" s="22" t="s">
        <v>71</v>
      </c>
      <c r="C6" s="18"/>
      <c r="D6" s="23"/>
      <c r="E6" s="15"/>
      <c r="F6" s="15"/>
      <c r="G6" s="15"/>
      <c r="H6" s="47"/>
      <c r="I6" s="47"/>
      <c r="J6" s="47"/>
      <c r="K6" s="47"/>
      <c r="L6" s="47"/>
      <c r="M6" s="15"/>
      <c r="N6" s="15"/>
      <c r="O6" s="15"/>
      <c r="P6" s="47"/>
      <c r="Q6" s="47"/>
      <c r="R6" s="47"/>
      <c r="S6" s="47"/>
    </row>
    <row r="7" spans="1:19" s="1" customFormat="1" x14ac:dyDescent="0.25">
      <c r="A7" s="23"/>
      <c r="B7" s="22" t="s">
        <v>59</v>
      </c>
      <c r="C7" s="18"/>
      <c r="D7" s="23"/>
      <c r="E7" s="15"/>
      <c r="F7" s="15"/>
      <c r="G7" s="15"/>
      <c r="H7" s="47"/>
      <c r="I7" s="47"/>
      <c r="J7" s="47"/>
      <c r="K7" s="47"/>
      <c r="L7" s="47"/>
      <c r="M7" s="15"/>
      <c r="N7" s="15"/>
      <c r="O7" s="15"/>
      <c r="P7" s="47"/>
      <c r="Q7" s="47"/>
      <c r="R7" s="47"/>
      <c r="S7" s="47"/>
    </row>
    <row r="8" spans="1:19" s="1" customFormat="1" x14ac:dyDescent="0.25">
      <c r="A8" s="25"/>
      <c r="B8" s="17" t="s">
        <v>60</v>
      </c>
      <c r="C8" s="18"/>
      <c r="D8" s="23"/>
      <c r="E8" s="15"/>
      <c r="F8" s="15"/>
      <c r="G8" s="15"/>
      <c r="H8" s="47"/>
      <c r="I8" s="47"/>
      <c r="J8" s="47"/>
      <c r="K8" s="47"/>
      <c r="L8" s="47"/>
      <c r="M8" s="15"/>
      <c r="N8" s="15"/>
      <c r="O8" s="15"/>
      <c r="P8" s="47"/>
      <c r="Q8" s="47"/>
      <c r="R8" s="47"/>
      <c r="S8" s="47"/>
    </row>
    <row r="9" spans="1:19" s="1" customFormat="1" ht="30" customHeight="1" collapsed="1" x14ac:dyDescent="0.25">
      <c r="A9" s="46" t="s">
        <v>61</v>
      </c>
      <c r="B9" s="15"/>
      <c r="C9" s="15"/>
      <c r="D9" s="15"/>
      <c r="E9" s="15"/>
      <c r="F9" s="36"/>
      <c r="G9" s="15"/>
      <c r="H9" s="47"/>
      <c r="I9" s="47"/>
      <c r="J9" s="47"/>
      <c r="K9" s="47"/>
      <c r="L9" s="47"/>
      <c r="M9" s="15"/>
      <c r="N9" s="36"/>
      <c r="O9" s="15"/>
      <c r="P9" s="47"/>
      <c r="Q9" s="47"/>
      <c r="R9" s="47"/>
      <c r="S9" s="47"/>
    </row>
    <row r="10" spans="1:19" s="1" customFormat="1" x14ac:dyDescent="0.25">
      <c r="A10" s="48" t="s">
        <v>62</v>
      </c>
      <c r="B10" s="22"/>
      <c r="C10" s="18"/>
      <c r="D10" s="23"/>
      <c r="E10" s="15"/>
      <c r="F10" s="15"/>
      <c r="G10" s="15"/>
      <c r="H10" s="47"/>
      <c r="I10" s="47"/>
      <c r="J10" s="47"/>
      <c r="K10" s="47"/>
      <c r="L10" s="47"/>
      <c r="M10" s="15"/>
      <c r="N10" s="15"/>
      <c r="O10" s="15"/>
      <c r="P10" s="47"/>
      <c r="Q10" s="47"/>
      <c r="R10" s="47"/>
      <c r="S10" s="47"/>
    </row>
    <row r="11" spans="1:19" s="1" customFormat="1" x14ac:dyDescent="0.25">
      <c r="A11" s="23"/>
      <c r="B11" s="22" t="s">
        <v>63</v>
      </c>
      <c r="C11" s="18"/>
      <c r="D11" s="23">
        <f>COUNTA(A16:A700)</f>
        <v>0</v>
      </c>
      <c r="E11" s="15"/>
      <c r="F11" s="15"/>
      <c r="G11" s="15"/>
      <c r="H11" s="47"/>
      <c r="I11" s="47"/>
      <c r="J11" s="47"/>
      <c r="K11" s="47"/>
      <c r="L11" s="47"/>
      <c r="M11" s="15"/>
      <c r="N11" s="15"/>
      <c r="O11" s="15"/>
      <c r="P11" s="47"/>
      <c r="Q11" s="47"/>
      <c r="R11" s="47"/>
      <c r="S11" s="47"/>
    </row>
    <row r="12" spans="1:19" s="1" customFormat="1" x14ac:dyDescent="0.25">
      <c r="A12" s="23"/>
      <c r="B12" s="24" t="s">
        <v>64</v>
      </c>
      <c r="C12" s="18"/>
      <c r="D12" s="23">
        <f>COUNTIF(D16:D700,"NEI")</f>
        <v>0</v>
      </c>
      <c r="E12" s="15"/>
      <c r="F12" s="15"/>
      <c r="G12" s="15"/>
      <c r="H12" s="47"/>
      <c r="I12" s="47"/>
      <c r="J12" s="47"/>
      <c r="K12" s="47"/>
      <c r="L12" s="47"/>
      <c r="M12" s="15"/>
      <c r="N12" s="15"/>
      <c r="O12" s="15"/>
      <c r="P12" s="47"/>
      <c r="Q12" s="47"/>
      <c r="R12" s="47"/>
      <c r="S12" s="47"/>
    </row>
    <row r="13" spans="1:19" s="1" customFormat="1" x14ac:dyDescent="0.25">
      <c r="A13" s="23"/>
      <c r="B13" s="24" t="s">
        <v>65</v>
      </c>
      <c r="C13" s="18"/>
      <c r="D13" s="23">
        <f>COUNTIF(D17:D700,"Ja")</f>
        <v>0</v>
      </c>
      <c r="E13" s="15"/>
      <c r="F13" s="15"/>
      <c r="G13" s="15"/>
      <c r="H13" s="47"/>
      <c r="I13" s="47"/>
      <c r="J13" s="47"/>
      <c r="K13" s="47"/>
      <c r="L13" s="47"/>
      <c r="M13" s="15"/>
      <c r="N13" s="15"/>
      <c r="O13" s="15"/>
      <c r="P13" s="47"/>
      <c r="Q13" s="47"/>
      <c r="R13" s="47"/>
      <c r="S13" s="47"/>
    </row>
    <row r="14" spans="1:19" s="1" customFormat="1" ht="30" customHeight="1" collapsed="1" x14ac:dyDescent="0.25">
      <c r="A14" s="46" t="s">
        <v>66</v>
      </c>
      <c r="B14" s="15"/>
      <c r="C14" s="15"/>
      <c r="D14" s="15"/>
      <c r="E14" s="15"/>
      <c r="F14" s="36"/>
      <c r="G14" s="15"/>
      <c r="H14" s="47"/>
      <c r="I14" s="47"/>
      <c r="J14" s="47"/>
      <c r="K14" s="47"/>
      <c r="L14" s="47"/>
      <c r="M14" s="15"/>
      <c r="N14" s="36"/>
      <c r="O14" s="15"/>
      <c r="P14" s="47"/>
      <c r="Q14" s="47"/>
      <c r="R14" s="47"/>
      <c r="S14" s="47"/>
    </row>
    <row r="15" spans="1:19" ht="39" customHeight="1" x14ac:dyDescent="0.25">
      <c r="A15" s="44" t="s">
        <v>0</v>
      </c>
      <c r="B15" s="117" t="s">
        <v>21</v>
      </c>
      <c r="C15" s="117" t="s">
        <v>24</v>
      </c>
      <c r="D15" s="44" t="s">
        <v>189</v>
      </c>
      <c r="E15" s="117" t="s">
        <v>187</v>
      </c>
      <c r="F15" s="117" t="s">
        <v>6</v>
      </c>
      <c r="G15" s="44" t="s">
        <v>10</v>
      </c>
      <c r="H15" s="45" t="s">
        <v>31</v>
      </c>
      <c r="I15" s="45" t="s">
        <v>32</v>
      </c>
      <c r="J15" s="45" t="s">
        <v>44</v>
      </c>
      <c r="K15" s="45" t="s">
        <v>53</v>
      </c>
      <c r="L15" s="45" t="s">
        <v>54</v>
      </c>
      <c r="M15" s="45" t="s">
        <v>75</v>
      </c>
      <c r="N15" s="45" t="s">
        <v>76</v>
      </c>
      <c r="O15" s="45" t="s">
        <v>77</v>
      </c>
      <c r="P15" s="45" t="s">
        <v>78</v>
      </c>
      <c r="Q15" s="45" t="s">
        <v>81</v>
      </c>
      <c r="R15" s="45" t="s">
        <v>82</v>
      </c>
      <c r="S15" s="45" t="s">
        <v>90</v>
      </c>
    </row>
    <row r="16" spans="1:19" x14ac:dyDescent="0.25">
      <c r="A16" s="118"/>
      <c r="B16" s="21"/>
      <c r="C16" s="21"/>
      <c r="D16" s="119"/>
      <c r="E16" s="21"/>
      <c r="F16" s="120"/>
      <c r="G16" s="55"/>
      <c r="H16" s="119"/>
      <c r="I16" s="119"/>
      <c r="J16" s="121"/>
      <c r="K16" s="119"/>
      <c r="L16" s="119"/>
      <c r="M16" s="119"/>
      <c r="N16" s="119"/>
      <c r="O16" s="119"/>
      <c r="P16" s="119"/>
      <c r="Q16" s="119"/>
      <c r="R16" s="119"/>
      <c r="S16" s="119"/>
    </row>
    <row r="17" spans="1:19" x14ac:dyDescent="0.25">
      <c r="A17" s="118"/>
      <c r="B17" s="21"/>
      <c r="C17" s="21"/>
      <c r="D17" s="119"/>
      <c r="E17" s="21"/>
      <c r="F17" s="120"/>
      <c r="G17" s="55"/>
      <c r="H17" s="119"/>
      <c r="I17" s="119"/>
      <c r="J17" s="121"/>
      <c r="K17" s="119"/>
      <c r="L17" s="119"/>
      <c r="M17" s="119"/>
      <c r="N17" s="119"/>
      <c r="O17" s="119"/>
      <c r="P17" s="119"/>
      <c r="Q17" s="119"/>
      <c r="R17" s="119"/>
      <c r="S17" s="119"/>
    </row>
    <row r="18" spans="1:19" x14ac:dyDescent="0.25">
      <c r="A18" s="118"/>
      <c r="B18" s="21"/>
      <c r="C18" s="21"/>
      <c r="D18" s="119"/>
      <c r="E18" s="21"/>
      <c r="F18" s="120"/>
      <c r="G18" s="55"/>
      <c r="H18" s="119"/>
      <c r="I18" s="119"/>
      <c r="J18" s="121"/>
      <c r="K18" s="119"/>
      <c r="L18" s="119"/>
      <c r="M18" s="119"/>
      <c r="N18" s="119"/>
      <c r="O18" s="119"/>
      <c r="P18" s="119"/>
      <c r="Q18" s="119"/>
      <c r="R18" s="119"/>
      <c r="S18" s="119"/>
    </row>
    <row r="19" spans="1:19" x14ac:dyDescent="0.25">
      <c r="A19" s="118"/>
      <c r="B19" s="21"/>
      <c r="C19" s="21"/>
      <c r="D19" s="119"/>
      <c r="E19" s="21"/>
      <c r="F19" s="120"/>
      <c r="G19" s="55"/>
      <c r="H19" s="119"/>
      <c r="I19" s="119"/>
      <c r="J19" s="121"/>
      <c r="K19" s="119"/>
      <c r="L19" s="119"/>
      <c r="M19" s="119"/>
      <c r="N19" s="119"/>
      <c r="O19" s="119"/>
      <c r="P19" s="119"/>
      <c r="Q19" s="119"/>
      <c r="R19" s="119"/>
      <c r="S19" s="119"/>
    </row>
    <row r="20" spans="1:19" x14ac:dyDescent="0.25">
      <c r="A20" s="118"/>
      <c r="B20" s="21"/>
      <c r="C20" s="21"/>
      <c r="D20" s="119"/>
      <c r="E20" s="21"/>
      <c r="F20" s="120"/>
      <c r="G20" s="122"/>
      <c r="H20" s="119"/>
      <c r="I20" s="119"/>
      <c r="J20" s="121"/>
      <c r="K20" s="119"/>
      <c r="L20" s="119"/>
      <c r="M20" s="119"/>
      <c r="N20" s="119"/>
      <c r="O20" s="119"/>
      <c r="P20" s="119"/>
      <c r="Q20" s="119"/>
      <c r="R20" s="119"/>
      <c r="S20" s="119"/>
    </row>
    <row r="21" spans="1:19" x14ac:dyDescent="0.25">
      <c r="A21" s="123"/>
      <c r="B21" s="21"/>
      <c r="C21" s="21"/>
      <c r="D21" s="119"/>
      <c r="E21" s="21"/>
      <c r="F21" s="120"/>
      <c r="G21" s="122"/>
      <c r="H21" s="119"/>
      <c r="I21" s="119"/>
      <c r="J21" s="121"/>
      <c r="K21" s="119"/>
      <c r="L21" s="119"/>
      <c r="M21" s="119"/>
      <c r="N21" s="119"/>
      <c r="O21" s="119"/>
      <c r="P21" s="119"/>
      <c r="Q21" s="119"/>
      <c r="R21" s="119"/>
      <c r="S21" s="119"/>
    </row>
    <row r="22" spans="1:19" x14ac:dyDescent="0.25">
      <c r="A22" s="123"/>
      <c r="B22" s="21"/>
      <c r="C22" s="21"/>
      <c r="D22" s="119"/>
      <c r="E22" s="21"/>
      <c r="F22" s="120"/>
      <c r="G22" s="122"/>
      <c r="H22" s="119"/>
      <c r="I22" s="119"/>
      <c r="J22" s="121"/>
      <c r="K22" s="119"/>
      <c r="L22" s="119"/>
      <c r="M22" s="119"/>
      <c r="N22" s="119"/>
      <c r="O22" s="119"/>
      <c r="P22" s="119"/>
      <c r="Q22" s="119"/>
      <c r="R22" s="119"/>
      <c r="S22" s="119"/>
    </row>
    <row r="23" spans="1:19" x14ac:dyDescent="0.25">
      <c r="A23" s="123"/>
      <c r="B23" s="21"/>
      <c r="C23" s="21"/>
      <c r="D23" s="119"/>
      <c r="E23" s="21"/>
      <c r="F23" s="120"/>
      <c r="G23" s="122"/>
      <c r="H23" s="119"/>
      <c r="I23" s="119"/>
      <c r="J23" s="121"/>
      <c r="K23" s="119"/>
      <c r="L23" s="119"/>
      <c r="M23" s="119"/>
      <c r="N23" s="119"/>
      <c r="O23" s="119"/>
      <c r="P23" s="119"/>
      <c r="Q23" s="119"/>
      <c r="R23" s="119"/>
      <c r="S23" s="119"/>
    </row>
    <row r="24" spans="1:19" x14ac:dyDescent="0.25">
      <c r="A24" s="123"/>
      <c r="B24" s="21"/>
      <c r="C24" s="21"/>
      <c r="D24" s="119"/>
      <c r="E24" s="21"/>
      <c r="F24" s="120"/>
      <c r="G24" s="122"/>
      <c r="H24" s="119"/>
      <c r="I24" s="119"/>
      <c r="J24" s="121"/>
      <c r="K24" s="119"/>
      <c r="L24" s="119"/>
      <c r="M24" s="119"/>
      <c r="N24" s="119"/>
      <c r="O24" s="119"/>
      <c r="P24" s="119"/>
      <c r="Q24" s="119"/>
      <c r="R24" s="119"/>
      <c r="S24" s="119"/>
    </row>
    <row r="25" spans="1:19" x14ac:dyDescent="0.25">
      <c r="A25" s="123"/>
      <c r="B25" s="21"/>
      <c r="C25" s="21"/>
      <c r="D25" s="119"/>
      <c r="E25" s="21"/>
      <c r="F25" s="120"/>
      <c r="G25" s="122"/>
      <c r="H25" s="119"/>
      <c r="I25" s="119"/>
      <c r="J25" s="121"/>
      <c r="K25" s="119"/>
      <c r="L25" s="119"/>
      <c r="M25" s="119"/>
      <c r="N25" s="119"/>
      <c r="O25" s="119"/>
      <c r="P25" s="119"/>
      <c r="Q25" s="119"/>
      <c r="R25" s="119"/>
      <c r="S25" s="119"/>
    </row>
    <row r="26" spans="1:19" x14ac:dyDescent="0.25">
      <c r="A26" s="123"/>
      <c r="B26" s="21"/>
      <c r="C26" s="21"/>
      <c r="D26" s="119"/>
      <c r="E26" s="21"/>
      <c r="F26" s="124"/>
      <c r="G26" s="122"/>
      <c r="H26" s="119"/>
      <c r="I26" s="119"/>
      <c r="J26" s="121"/>
      <c r="K26" s="119"/>
      <c r="L26" s="119"/>
      <c r="M26" s="119"/>
      <c r="N26" s="119"/>
      <c r="O26" s="119"/>
      <c r="P26" s="119"/>
      <c r="Q26" s="119"/>
      <c r="R26" s="119"/>
      <c r="S26" s="119"/>
    </row>
    <row r="27" spans="1:19" x14ac:dyDescent="0.25">
      <c r="A27" s="123"/>
      <c r="B27" s="21"/>
      <c r="C27" s="21"/>
      <c r="D27" s="119"/>
      <c r="E27" s="21"/>
      <c r="F27" s="124"/>
      <c r="G27" s="122"/>
      <c r="H27" s="119"/>
      <c r="I27" s="119"/>
      <c r="J27" s="121"/>
      <c r="K27" s="119"/>
      <c r="L27" s="119"/>
      <c r="M27" s="119"/>
      <c r="N27" s="119"/>
      <c r="O27" s="119"/>
      <c r="P27" s="119"/>
      <c r="Q27" s="119"/>
      <c r="R27" s="119"/>
      <c r="S27" s="119"/>
    </row>
    <row r="28" spans="1:19" x14ac:dyDescent="0.25">
      <c r="A28" s="123"/>
      <c r="B28" s="21"/>
      <c r="C28" s="21"/>
      <c r="D28" s="119"/>
      <c r="E28" s="21"/>
      <c r="F28" s="124"/>
      <c r="G28" s="122"/>
      <c r="H28" s="119"/>
      <c r="I28" s="119"/>
      <c r="J28" s="121"/>
      <c r="K28" s="119"/>
      <c r="L28" s="119"/>
      <c r="M28" s="119"/>
      <c r="N28" s="119"/>
      <c r="O28" s="119"/>
      <c r="P28" s="119"/>
      <c r="Q28" s="119"/>
      <c r="R28" s="119"/>
      <c r="S28" s="119"/>
    </row>
    <row r="29" spans="1:19" x14ac:dyDescent="0.25">
      <c r="A29" s="123"/>
      <c r="B29" s="21"/>
      <c r="C29" s="21"/>
      <c r="D29" s="119"/>
      <c r="E29" s="21"/>
      <c r="F29" s="124"/>
      <c r="G29" s="122"/>
      <c r="H29" s="119"/>
      <c r="I29" s="119"/>
      <c r="J29" s="121"/>
      <c r="K29" s="119"/>
      <c r="L29" s="119"/>
      <c r="M29" s="119"/>
      <c r="N29" s="119"/>
      <c r="O29" s="119"/>
      <c r="P29" s="119"/>
      <c r="Q29" s="119"/>
      <c r="R29" s="119"/>
      <c r="S29" s="119"/>
    </row>
    <row r="30" spans="1:19" x14ac:dyDescent="0.25">
      <c r="A30" s="123"/>
      <c r="B30" s="21"/>
      <c r="C30" s="21"/>
      <c r="D30" s="119"/>
      <c r="E30" s="21"/>
      <c r="F30" s="124"/>
      <c r="G30" s="122"/>
      <c r="H30" s="119"/>
      <c r="I30" s="119"/>
      <c r="J30" s="121"/>
      <c r="K30" s="119"/>
      <c r="L30" s="119"/>
      <c r="M30" s="119"/>
      <c r="N30" s="119"/>
      <c r="O30" s="119"/>
      <c r="P30" s="119"/>
      <c r="Q30" s="119"/>
      <c r="R30" s="119"/>
      <c r="S30" s="119"/>
    </row>
    <row r="31" spans="1:19" x14ac:dyDescent="0.25">
      <c r="A31" s="123"/>
      <c r="B31" s="21"/>
      <c r="C31" s="21"/>
      <c r="D31" s="119"/>
      <c r="E31" s="21"/>
      <c r="F31" s="124"/>
      <c r="G31" s="122"/>
      <c r="H31" s="119"/>
      <c r="I31" s="119"/>
      <c r="J31" s="121"/>
      <c r="K31" s="119"/>
      <c r="L31" s="119"/>
      <c r="M31" s="119"/>
      <c r="N31" s="119"/>
      <c r="O31" s="119"/>
      <c r="P31" s="119"/>
      <c r="Q31" s="119"/>
      <c r="R31" s="119"/>
      <c r="S31" s="119"/>
    </row>
    <row r="32" spans="1:19" x14ac:dyDescent="0.25">
      <c r="A32" s="123"/>
      <c r="B32" s="21"/>
      <c r="C32" s="21"/>
      <c r="D32" s="119"/>
      <c r="E32" s="21"/>
      <c r="F32" s="124"/>
      <c r="G32" s="122"/>
      <c r="H32" s="119"/>
      <c r="I32" s="119"/>
      <c r="J32" s="121"/>
      <c r="K32" s="119"/>
      <c r="L32" s="119"/>
      <c r="M32" s="119"/>
      <c r="N32" s="119"/>
      <c r="O32" s="119"/>
      <c r="P32" s="119"/>
      <c r="Q32" s="119"/>
      <c r="R32" s="119"/>
      <c r="S32" s="119"/>
    </row>
    <row r="33" spans="1:19" x14ac:dyDescent="0.25">
      <c r="A33" s="123"/>
      <c r="B33" s="21"/>
      <c r="C33" s="21"/>
      <c r="D33" s="119"/>
      <c r="E33" s="21"/>
      <c r="F33" s="124"/>
      <c r="G33" s="122"/>
      <c r="H33" s="119"/>
      <c r="I33" s="119"/>
      <c r="J33" s="121"/>
      <c r="K33" s="119"/>
      <c r="L33" s="119"/>
      <c r="M33" s="119"/>
      <c r="N33" s="119"/>
      <c r="O33" s="119"/>
      <c r="P33" s="119"/>
      <c r="Q33" s="119"/>
      <c r="R33" s="119"/>
      <c r="S33" s="119"/>
    </row>
    <row r="34" spans="1:19" x14ac:dyDescent="0.25">
      <c r="A34" s="123"/>
      <c r="B34" s="21"/>
      <c r="C34" s="21"/>
      <c r="D34" s="119"/>
      <c r="E34" s="21"/>
      <c r="F34" s="124"/>
      <c r="G34" s="122"/>
      <c r="H34" s="119"/>
      <c r="I34" s="119"/>
      <c r="J34" s="121"/>
      <c r="K34" s="119"/>
      <c r="L34" s="119"/>
      <c r="M34" s="119"/>
      <c r="N34" s="119"/>
      <c r="O34" s="119"/>
      <c r="P34" s="119"/>
      <c r="Q34" s="119"/>
      <c r="R34" s="119"/>
      <c r="S34" s="119"/>
    </row>
    <row r="35" spans="1:19" x14ac:dyDescent="0.25">
      <c r="A35" s="123"/>
      <c r="B35" s="21"/>
      <c r="C35" s="21"/>
      <c r="D35" s="119"/>
      <c r="E35" s="21"/>
      <c r="F35" s="124"/>
      <c r="G35" s="122"/>
      <c r="H35" s="119"/>
      <c r="I35" s="119"/>
      <c r="J35" s="121"/>
      <c r="K35" s="119"/>
      <c r="L35" s="119"/>
      <c r="M35" s="119"/>
      <c r="N35" s="119"/>
      <c r="O35" s="119"/>
      <c r="P35" s="119"/>
      <c r="Q35" s="119"/>
      <c r="R35" s="119"/>
      <c r="S35" s="119"/>
    </row>
    <row r="36" spans="1:19" x14ac:dyDescent="0.25">
      <c r="A36" s="123"/>
      <c r="B36" s="21"/>
      <c r="C36" s="21"/>
      <c r="D36" s="119"/>
      <c r="E36" s="21"/>
      <c r="F36" s="124"/>
      <c r="G36" s="122"/>
      <c r="H36" s="119"/>
      <c r="I36" s="119"/>
      <c r="J36" s="121"/>
      <c r="K36" s="119"/>
      <c r="L36" s="119"/>
      <c r="M36" s="119"/>
      <c r="N36" s="119"/>
      <c r="O36" s="119"/>
      <c r="P36" s="119"/>
      <c r="Q36" s="119"/>
      <c r="R36" s="119"/>
      <c r="S36" s="119"/>
    </row>
    <row r="37" spans="1:19" x14ac:dyDescent="0.25">
      <c r="A37" s="123"/>
      <c r="B37" s="21"/>
      <c r="C37" s="21"/>
      <c r="D37" s="119"/>
      <c r="E37" s="21"/>
      <c r="F37" s="124"/>
      <c r="G37" s="122"/>
      <c r="H37" s="119"/>
      <c r="I37" s="119"/>
      <c r="J37" s="121"/>
      <c r="K37" s="119"/>
      <c r="L37" s="119"/>
      <c r="M37" s="119"/>
      <c r="N37" s="119"/>
      <c r="O37" s="119"/>
      <c r="P37" s="119"/>
      <c r="Q37" s="119"/>
      <c r="R37" s="119"/>
      <c r="S37" s="119"/>
    </row>
    <row r="38" spans="1:19" x14ac:dyDescent="0.25">
      <c r="A38" s="123"/>
      <c r="B38" s="21"/>
      <c r="C38" s="21"/>
      <c r="D38" s="119"/>
      <c r="E38" s="21"/>
      <c r="F38" s="124"/>
      <c r="G38" s="122"/>
      <c r="H38" s="119"/>
      <c r="I38" s="119"/>
      <c r="J38" s="121"/>
      <c r="K38" s="119"/>
      <c r="L38" s="119"/>
      <c r="M38" s="119"/>
      <c r="N38" s="119"/>
      <c r="O38" s="119"/>
      <c r="P38" s="119"/>
      <c r="Q38" s="119"/>
      <c r="R38" s="119"/>
      <c r="S38" s="119"/>
    </row>
    <row r="39" spans="1:19" x14ac:dyDescent="0.25">
      <c r="A39" s="123"/>
      <c r="B39" s="21"/>
      <c r="C39" s="21"/>
      <c r="D39" s="119"/>
      <c r="E39" s="21"/>
      <c r="F39" s="124"/>
      <c r="G39" s="122"/>
      <c r="H39" s="119"/>
      <c r="I39" s="119"/>
      <c r="J39" s="121"/>
      <c r="K39" s="119"/>
      <c r="L39" s="119"/>
      <c r="M39" s="119"/>
      <c r="N39" s="119"/>
      <c r="O39" s="119"/>
      <c r="P39" s="119"/>
      <c r="Q39" s="119"/>
      <c r="R39" s="119"/>
      <c r="S39" s="119"/>
    </row>
    <row r="40" spans="1:19" x14ac:dyDescent="0.25">
      <c r="A40" s="123"/>
      <c r="B40" s="21"/>
      <c r="C40" s="21"/>
      <c r="D40" s="119"/>
      <c r="E40" s="21"/>
      <c r="F40" s="124"/>
      <c r="G40" s="122"/>
      <c r="H40" s="119"/>
      <c r="I40" s="119"/>
      <c r="J40" s="121"/>
      <c r="K40" s="119"/>
      <c r="L40" s="119"/>
      <c r="M40" s="119"/>
      <c r="N40" s="119"/>
      <c r="O40" s="119"/>
      <c r="P40" s="119"/>
      <c r="Q40" s="119"/>
      <c r="R40" s="119"/>
      <c r="S40" s="119"/>
    </row>
    <row r="41" spans="1:19" x14ac:dyDescent="0.25">
      <c r="A41" s="123"/>
      <c r="B41" s="21"/>
      <c r="C41" s="21"/>
      <c r="D41" s="119"/>
      <c r="E41" s="21"/>
      <c r="F41" s="124"/>
      <c r="G41" s="122"/>
      <c r="H41" s="119"/>
      <c r="I41" s="119"/>
      <c r="J41" s="121"/>
      <c r="K41" s="119"/>
      <c r="L41" s="119"/>
      <c r="M41" s="119"/>
      <c r="N41" s="119"/>
      <c r="O41" s="119"/>
      <c r="P41" s="119"/>
      <c r="Q41" s="119"/>
      <c r="R41" s="119"/>
      <c r="S41" s="119"/>
    </row>
    <row r="42" spans="1:19" x14ac:dyDescent="0.25">
      <c r="A42" s="123"/>
      <c r="B42" s="21"/>
      <c r="C42" s="21"/>
      <c r="D42" s="119"/>
      <c r="E42" s="21"/>
      <c r="F42" s="124"/>
      <c r="G42" s="122"/>
      <c r="H42" s="119"/>
      <c r="I42" s="119"/>
      <c r="J42" s="121"/>
      <c r="K42" s="119"/>
      <c r="L42" s="119"/>
      <c r="M42" s="119"/>
      <c r="N42" s="119"/>
      <c r="O42" s="119"/>
      <c r="P42" s="119"/>
      <c r="Q42" s="119"/>
      <c r="R42" s="119"/>
      <c r="S42" s="119"/>
    </row>
    <row r="43" spans="1:19" x14ac:dyDescent="0.25">
      <c r="A43" s="123"/>
      <c r="B43" s="21"/>
      <c r="C43" s="21"/>
      <c r="D43" s="119"/>
      <c r="E43" s="21"/>
      <c r="F43" s="124"/>
      <c r="G43" s="122"/>
      <c r="H43" s="119"/>
      <c r="I43" s="119"/>
      <c r="J43" s="121"/>
      <c r="K43" s="119"/>
      <c r="L43" s="119"/>
      <c r="M43" s="119"/>
      <c r="N43" s="119"/>
      <c r="O43" s="119"/>
      <c r="P43" s="119"/>
      <c r="Q43" s="119"/>
      <c r="R43" s="119"/>
      <c r="S43" s="119"/>
    </row>
    <row r="44" spans="1:19" x14ac:dyDescent="0.25">
      <c r="A44" s="123"/>
      <c r="B44" s="21"/>
      <c r="C44" s="21"/>
      <c r="D44" s="119"/>
      <c r="E44" s="21"/>
      <c r="F44" s="124"/>
      <c r="G44" s="122"/>
      <c r="H44" s="119"/>
      <c r="I44" s="119"/>
      <c r="J44" s="121"/>
      <c r="K44" s="119"/>
      <c r="L44" s="119"/>
      <c r="M44" s="119"/>
      <c r="N44" s="119"/>
      <c r="O44" s="119"/>
      <c r="P44" s="119"/>
      <c r="Q44" s="119"/>
      <c r="R44" s="119"/>
      <c r="S44" s="119"/>
    </row>
    <row r="45" spans="1:19" x14ac:dyDescent="0.25">
      <c r="A45" s="123"/>
      <c r="B45" s="21"/>
      <c r="C45" s="21"/>
      <c r="D45" s="119"/>
      <c r="E45" s="21"/>
      <c r="F45" s="124"/>
      <c r="G45" s="122"/>
      <c r="H45" s="119"/>
      <c r="I45" s="119"/>
      <c r="J45" s="121"/>
      <c r="K45" s="119"/>
      <c r="L45" s="119"/>
      <c r="M45" s="119"/>
      <c r="N45" s="119"/>
      <c r="O45" s="119"/>
      <c r="P45" s="119"/>
      <c r="Q45" s="119"/>
      <c r="R45" s="119"/>
      <c r="S45" s="119"/>
    </row>
    <row r="46" spans="1:19" x14ac:dyDescent="0.25">
      <c r="A46" s="123"/>
      <c r="B46" s="21"/>
      <c r="C46" s="21"/>
      <c r="D46" s="119"/>
      <c r="E46" s="21"/>
      <c r="F46" s="124"/>
      <c r="G46" s="122"/>
      <c r="H46" s="119"/>
      <c r="I46" s="119"/>
      <c r="J46" s="121"/>
      <c r="K46" s="119"/>
      <c r="L46" s="119"/>
      <c r="M46" s="119"/>
      <c r="N46" s="119"/>
      <c r="O46" s="119"/>
      <c r="P46" s="119"/>
      <c r="Q46" s="119"/>
      <c r="R46" s="119"/>
      <c r="S46" s="119"/>
    </row>
    <row r="47" spans="1:19" x14ac:dyDescent="0.25">
      <c r="A47" s="123"/>
      <c r="B47" s="21"/>
      <c r="C47" s="21"/>
      <c r="D47" s="119"/>
      <c r="E47" s="21"/>
      <c r="F47" s="124"/>
      <c r="G47" s="122"/>
      <c r="H47" s="119"/>
      <c r="I47" s="119"/>
      <c r="J47" s="121"/>
      <c r="K47" s="119"/>
      <c r="L47" s="119"/>
      <c r="M47" s="119"/>
      <c r="N47" s="119"/>
      <c r="O47" s="119"/>
      <c r="P47" s="119"/>
      <c r="Q47" s="119"/>
      <c r="R47" s="119"/>
      <c r="S47" s="119"/>
    </row>
    <row r="48" spans="1:19" x14ac:dyDescent="0.25">
      <c r="A48" s="123"/>
      <c r="B48" s="21"/>
      <c r="C48" s="21"/>
      <c r="D48" s="119"/>
      <c r="E48" s="21"/>
      <c r="F48" s="124"/>
      <c r="G48" s="122"/>
      <c r="H48" s="119"/>
      <c r="I48" s="119"/>
      <c r="J48" s="121"/>
      <c r="K48" s="119"/>
      <c r="L48" s="119"/>
      <c r="M48" s="119"/>
      <c r="N48" s="119"/>
      <c r="O48" s="119"/>
      <c r="P48" s="119"/>
      <c r="Q48" s="119"/>
      <c r="R48" s="119"/>
      <c r="S48" s="119"/>
    </row>
    <row r="49" spans="1:19" x14ac:dyDescent="0.25">
      <c r="A49" s="123"/>
      <c r="B49" s="21"/>
      <c r="C49" s="21"/>
      <c r="D49" s="119"/>
      <c r="E49" s="21"/>
      <c r="F49" s="124"/>
      <c r="G49" s="122"/>
      <c r="H49" s="119"/>
      <c r="I49" s="119"/>
      <c r="J49" s="121"/>
      <c r="K49" s="119"/>
      <c r="L49" s="119"/>
      <c r="M49" s="119"/>
      <c r="N49" s="119"/>
      <c r="O49" s="119"/>
      <c r="P49" s="119"/>
      <c r="Q49" s="119"/>
      <c r="R49" s="119"/>
      <c r="S49" s="119"/>
    </row>
    <row r="50" spans="1:19" x14ac:dyDescent="0.25">
      <c r="A50" s="123"/>
      <c r="B50" s="21"/>
      <c r="C50" s="21"/>
      <c r="D50" s="119"/>
      <c r="E50" s="21"/>
      <c r="F50" s="124"/>
      <c r="G50" s="122"/>
      <c r="H50" s="119"/>
      <c r="I50" s="119"/>
      <c r="J50" s="121"/>
      <c r="K50" s="119"/>
      <c r="L50" s="119"/>
      <c r="M50" s="119"/>
      <c r="N50" s="119"/>
      <c r="O50" s="119"/>
      <c r="P50" s="119"/>
      <c r="Q50" s="119"/>
      <c r="R50" s="119"/>
      <c r="S50" s="119"/>
    </row>
    <row r="51" spans="1:19" x14ac:dyDescent="0.25">
      <c r="A51" s="123"/>
      <c r="B51" s="21"/>
      <c r="C51" s="21"/>
      <c r="D51" s="119"/>
      <c r="E51" s="21"/>
      <c r="F51" s="124"/>
      <c r="G51" s="122"/>
      <c r="H51" s="119"/>
      <c r="I51" s="119"/>
      <c r="J51" s="121"/>
      <c r="K51" s="119"/>
      <c r="L51" s="119"/>
      <c r="M51" s="119"/>
      <c r="N51" s="119"/>
      <c r="O51" s="119"/>
      <c r="P51" s="119"/>
      <c r="Q51" s="119"/>
      <c r="R51" s="119"/>
      <c r="S51" s="119"/>
    </row>
    <row r="52" spans="1:19" x14ac:dyDescent="0.25">
      <c r="A52" s="123"/>
      <c r="B52" s="21"/>
      <c r="C52" s="21"/>
      <c r="D52" s="119"/>
      <c r="E52" s="21"/>
      <c r="F52" s="124"/>
      <c r="G52" s="122"/>
      <c r="H52" s="119"/>
      <c r="I52" s="119"/>
      <c r="J52" s="121"/>
      <c r="K52" s="119"/>
      <c r="L52" s="119"/>
      <c r="M52" s="119"/>
      <c r="N52" s="119"/>
      <c r="O52" s="119"/>
      <c r="P52" s="119"/>
      <c r="Q52" s="119"/>
      <c r="R52" s="119"/>
      <c r="S52" s="119"/>
    </row>
    <row r="53" spans="1:19" x14ac:dyDescent="0.25">
      <c r="A53" s="123"/>
      <c r="B53" s="21"/>
      <c r="C53" s="21"/>
      <c r="D53" s="119"/>
      <c r="E53" s="21"/>
      <c r="F53" s="124"/>
      <c r="G53" s="122"/>
      <c r="H53" s="119"/>
      <c r="I53" s="119"/>
      <c r="J53" s="121"/>
      <c r="K53" s="119"/>
      <c r="L53" s="119"/>
      <c r="M53" s="119"/>
      <c r="N53" s="119"/>
      <c r="O53" s="119"/>
      <c r="P53" s="119"/>
      <c r="Q53" s="119"/>
      <c r="R53" s="119"/>
      <c r="S53" s="119"/>
    </row>
    <row r="54" spans="1:19" x14ac:dyDescent="0.25">
      <c r="A54" s="123"/>
      <c r="B54" s="21"/>
      <c r="C54" s="21"/>
      <c r="D54" s="119"/>
      <c r="E54" s="21"/>
      <c r="F54" s="124"/>
      <c r="G54" s="122"/>
      <c r="H54" s="119"/>
      <c r="I54" s="119"/>
      <c r="J54" s="121"/>
      <c r="K54" s="119"/>
      <c r="L54" s="119"/>
      <c r="M54" s="119"/>
      <c r="N54" s="119"/>
      <c r="O54" s="119"/>
      <c r="P54" s="119"/>
      <c r="Q54" s="119"/>
      <c r="R54" s="119"/>
      <c r="S54" s="119"/>
    </row>
    <row r="55" spans="1:19" x14ac:dyDescent="0.25">
      <c r="A55" s="123"/>
      <c r="B55" s="21"/>
      <c r="C55" s="21"/>
      <c r="D55" s="119"/>
      <c r="E55" s="21"/>
      <c r="F55" s="124"/>
      <c r="G55" s="122"/>
      <c r="H55" s="119"/>
      <c r="I55" s="119"/>
      <c r="J55" s="121"/>
      <c r="K55" s="119"/>
      <c r="L55" s="119"/>
      <c r="M55" s="119"/>
      <c r="N55" s="119"/>
      <c r="O55" s="119"/>
      <c r="P55" s="119"/>
      <c r="Q55" s="119"/>
      <c r="R55" s="119"/>
      <c r="S55" s="119"/>
    </row>
    <row r="56" spans="1:19" x14ac:dyDescent="0.25">
      <c r="A56" s="123"/>
      <c r="B56" s="21"/>
      <c r="C56" s="21"/>
      <c r="D56" s="119"/>
      <c r="E56" s="21"/>
      <c r="F56" s="124"/>
      <c r="G56" s="122"/>
      <c r="H56" s="119"/>
      <c r="I56" s="119"/>
      <c r="J56" s="121"/>
      <c r="K56" s="119"/>
      <c r="L56" s="119"/>
      <c r="M56" s="119"/>
      <c r="N56" s="119"/>
      <c r="O56" s="119"/>
      <c r="P56" s="119"/>
      <c r="Q56" s="119"/>
      <c r="R56" s="119"/>
      <c r="S56" s="119"/>
    </row>
    <row r="57" spans="1:19" x14ac:dyDescent="0.25">
      <c r="A57" s="123"/>
      <c r="B57" s="21"/>
      <c r="C57" s="21"/>
      <c r="D57" s="119"/>
      <c r="E57" s="21"/>
      <c r="F57" s="124"/>
      <c r="G57" s="122"/>
      <c r="H57" s="119"/>
      <c r="I57" s="119"/>
      <c r="J57" s="121"/>
      <c r="K57" s="119"/>
      <c r="L57" s="119"/>
      <c r="M57" s="119"/>
      <c r="N57" s="119"/>
      <c r="O57" s="119"/>
      <c r="P57" s="119"/>
      <c r="Q57" s="119"/>
      <c r="R57" s="119"/>
      <c r="S57" s="119"/>
    </row>
    <row r="58" spans="1:19" x14ac:dyDescent="0.25">
      <c r="A58" s="123"/>
      <c r="B58" s="21"/>
      <c r="C58" s="21"/>
      <c r="D58" s="119"/>
      <c r="E58" s="21"/>
      <c r="F58" s="124"/>
      <c r="G58" s="122"/>
      <c r="H58" s="119"/>
      <c r="I58" s="119"/>
      <c r="J58" s="121"/>
      <c r="K58" s="119"/>
      <c r="L58" s="119"/>
      <c r="M58" s="119"/>
      <c r="N58" s="119"/>
      <c r="O58" s="119"/>
      <c r="P58" s="119"/>
      <c r="Q58" s="119"/>
      <c r="R58" s="119"/>
      <c r="S58" s="119"/>
    </row>
    <row r="59" spans="1:19" x14ac:dyDescent="0.25">
      <c r="A59" s="123"/>
      <c r="B59" s="21"/>
      <c r="C59" s="21"/>
      <c r="D59" s="119"/>
      <c r="E59" s="21"/>
      <c r="F59" s="124"/>
      <c r="G59" s="122"/>
      <c r="H59" s="119"/>
      <c r="I59" s="119"/>
      <c r="J59" s="121"/>
      <c r="K59" s="119"/>
      <c r="L59" s="119"/>
      <c r="M59" s="119"/>
      <c r="N59" s="119"/>
      <c r="O59" s="119"/>
      <c r="P59" s="119"/>
      <c r="Q59" s="119"/>
      <c r="R59" s="119"/>
      <c r="S59" s="119"/>
    </row>
    <row r="60" spans="1:19" x14ac:dyDescent="0.25">
      <c r="A60" s="123"/>
      <c r="B60" s="21"/>
      <c r="C60" s="21"/>
      <c r="D60" s="119"/>
      <c r="E60" s="21"/>
      <c r="F60" s="124"/>
      <c r="G60" s="122"/>
      <c r="H60" s="119"/>
      <c r="I60" s="119"/>
      <c r="J60" s="121"/>
      <c r="K60" s="119"/>
      <c r="L60" s="119"/>
      <c r="M60" s="119"/>
      <c r="N60" s="119"/>
      <c r="O60" s="119"/>
      <c r="P60" s="119"/>
      <c r="Q60" s="119"/>
      <c r="R60" s="119"/>
      <c r="S60" s="119"/>
    </row>
    <row r="61" spans="1:19" x14ac:dyDescent="0.25">
      <c r="A61" s="123"/>
      <c r="B61" s="21"/>
      <c r="C61" s="21"/>
      <c r="D61" s="119"/>
      <c r="E61" s="21"/>
      <c r="F61" s="124"/>
      <c r="G61" s="122"/>
      <c r="H61" s="119"/>
      <c r="I61" s="119"/>
      <c r="J61" s="121"/>
      <c r="K61" s="119"/>
      <c r="L61" s="119"/>
      <c r="M61" s="119"/>
      <c r="N61" s="119"/>
      <c r="O61" s="119"/>
      <c r="P61" s="119"/>
      <c r="Q61" s="119"/>
      <c r="R61" s="119"/>
      <c r="S61" s="119"/>
    </row>
    <row r="62" spans="1:19" x14ac:dyDescent="0.25">
      <c r="A62" s="123"/>
      <c r="B62" s="21"/>
      <c r="C62" s="21"/>
      <c r="D62" s="119"/>
      <c r="E62" s="21"/>
      <c r="F62" s="124"/>
      <c r="G62" s="122"/>
      <c r="H62" s="119"/>
      <c r="I62" s="119"/>
      <c r="J62" s="121"/>
      <c r="K62" s="119"/>
      <c r="L62" s="119"/>
      <c r="M62" s="119"/>
      <c r="N62" s="119"/>
      <c r="O62" s="119"/>
      <c r="P62" s="119"/>
      <c r="Q62" s="119"/>
      <c r="R62" s="119"/>
      <c r="S62" s="119"/>
    </row>
    <row r="63" spans="1:19" x14ac:dyDescent="0.25">
      <c r="A63" s="123"/>
      <c r="B63" s="21"/>
      <c r="C63" s="21"/>
      <c r="D63" s="119"/>
      <c r="E63" s="21"/>
      <c r="F63" s="124"/>
      <c r="G63" s="122"/>
      <c r="H63" s="119"/>
      <c r="I63" s="119"/>
      <c r="J63" s="121"/>
      <c r="K63" s="119"/>
      <c r="L63" s="119"/>
      <c r="M63" s="119"/>
      <c r="N63" s="119"/>
      <c r="O63" s="119"/>
      <c r="P63" s="119"/>
      <c r="Q63" s="119"/>
      <c r="R63" s="119"/>
      <c r="S63" s="119"/>
    </row>
    <row r="64" spans="1:19" x14ac:dyDescent="0.25">
      <c r="A64" s="123"/>
      <c r="B64" s="21"/>
      <c r="C64" s="21"/>
      <c r="D64" s="119"/>
      <c r="E64" s="21"/>
      <c r="F64" s="124"/>
      <c r="G64" s="122"/>
      <c r="H64" s="119"/>
      <c r="I64" s="119"/>
      <c r="J64" s="121"/>
      <c r="K64" s="119"/>
      <c r="L64" s="119"/>
      <c r="M64" s="119"/>
      <c r="N64" s="119"/>
      <c r="O64" s="119"/>
      <c r="P64" s="119"/>
      <c r="Q64" s="119"/>
      <c r="R64" s="119"/>
      <c r="S64" s="119"/>
    </row>
    <row r="65" spans="1:19" x14ac:dyDescent="0.25">
      <c r="A65" s="123"/>
      <c r="B65" s="21"/>
      <c r="C65" s="21"/>
      <c r="D65" s="119"/>
      <c r="E65" s="21"/>
      <c r="F65" s="124"/>
      <c r="G65" s="122"/>
      <c r="H65" s="119"/>
      <c r="I65" s="119"/>
      <c r="J65" s="121"/>
      <c r="K65" s="119"/>
      <c r="L65" s="119"/>
      <c r="M65" s="119"/>
      <c r="N65" s="119"/>
      <c r="O65" s="119"/>
      <c r="P65" s="119"/>
      <c r="Q65" s="119"/>
      <c r="R65" s="119"/>
      <c r="S65" s="119"/>
    </row>
    <row r="66" spans="1:19" x14ac:dyDescent="0.25">
      <c r="A66" s="123"/>
      <c r="B66" s="21"/>
      <c r="C66" s="21"/>
      <c r="D66" s="119"/>
      <c r="E66" s="21"/>
      <c r="F66" s="124"/>
      <c r="G66" s="122"/>
      <c r="H66" s="119"/>
      <c r="I66" s="119"/>
      <c r="J66" s="121"/>
      <c r="K66" s="119"/>
      <c r="L66" s="119"/>
      <c r="M66" s="119"/>
      <c r="N66" s="119"/>
      <c r="O66" s="119"/>
      <c r="P66" s="119"/>
      <c r="Q66" s="119"/>
      <c r="R66" s="119"/>
      <c r="S66" s="119"/>
    </row>
    <row r="67" spans="1:19" x14ac:dyDescent="0.25">
      <c r="A67" s="123"/>
      <c r="B67" s="21"/>
      <c r="C67" s="21"/>
      <c r="D67" s="119"/>
      <c r="E67" s="21"/>
      <c r="F67" s="124"/>
      <c r="G67" s="122"/>
      <c r="H67" s="119"/>
      <c r="I67" s="119"/>
      <c r="J67" s="121"/>
      <c r="K67" s="119"/>
      <c r="L67" s="119"/>
      <c r="M67" s="119"/>
      <c r="N67" s="119"/>
      <c r="O67" s="119"/>
      <c r="P67" s="119"/>
      <c r="Q67" s="119"/>
      <c r="R67" s="119"/>
      <c r="S67" s="119"/>
    </row>
    <row r="68" spans="1:19" x14ac:dyDescent="0.25">
      <c r="A68" s="123"/>
      <c r="B68" s="21"/>
      <c r="C68" s="21"/>
      <c r="D68" s="119"/>
      <c r="E68" s="21"/>
      <c r="F68" s="124"/>
      <c r="G68" s="122"/>
      <c r="H68" s="119"/>
      <c r="I68" s="119"/>
      <c r="J68" s="121"/>
      <c r="K68" s="119"/>
      <c r="L68" s="119"/>
      <c r="M68" s="119"/>
      <c r="N68" s="119"/>
      <c r="O68" s="119"/>
      <c r="P68" s="119"/>
      <c r="Q68" s="119"/>
      <c r="R68" s="119"/>
      <c r="S68" s="119"/>
    </row>
    <row r="69" spans="1:19" x14ac:dyDescent="0.25">
      <c r="A69" s="123"/>
      <c r="B69" s="21"/>
      <c r="C69" s="21"/>
      <c r="D69" s="119"/>
      <c r="E69" s="21"/>
      <c r="F69" s="124"/>
      <c r="G69" s="122"/>
      <c r="H69" s="119"/>
      <c r="I69" s="119"/>
      <c r="J69" s="121"/>
      <c r="K69" s="119"/>
      <c r="L69" s="119"/>
      <c r="M69" s="119"/>
      <c r="N69" s="119"/>
      <c r="O69" s="119"/>
      <c r="P69" s="119"/>
      <c r="Q69" s="119"/>
      <c r="R69" s="119"/>
      <c r="S69" s="119"/>
    </row>
    <row r="70" spans="1:19" x14ac:dyDescent="0.25">
      <c r="A70" s="123"/>
      <c r="B70" s="21"/>
      <c r="C70" s="21"/>
      <c r="D70" s="119"/>
      <c r="E70" s="21"/>
      <c r="F70" s="124"/>
      <c r="G70" s="122"/>
      <c r="H70" s="119"/>
      <c r="I70" s="119"/>
      <c r="J70" s="121"/>
      <c r="K70" s="119"/>
      <c r="L70" s="119"/>
      <c r="M70" s="119"/>
      <c r="N70" s="119"/>
      <c r="O70" s="119"/>
      <c r="P70" s="119"/>
      <c r="Q70" s="119"/>
      <c r="R70" s="119"/>
      <c r="S70" s="119"/>
    </row>
    <row r="71" spans="1:19" x14ac:dyDescent="0.25">
      <c r="A71" s="123"/>
      <c r="B71" s="21"/>
      <c r="C71" s="21"/>
      <c r="D71" s="119"/>
      <c r="E71" s="21"/>
      <c r="F71" s="124"/>
      <c r="G71" s="122"/>
      <c r="H71" s="119"/>
      <c r="I71" s="119"/>
      <c r="J71" s="121"/>
      <c r="K71" s="119"/>
      <c r="L71" s="119"/>
      <c r="M71" s="119"/>
      <c r="N71" s="119"/>
      <c r="O71" s="119"/>
      <c r="P71" s="119"/>
      <c r="Q71" s="119"/>
      <c r="R71" s="119"/>
      <c r="S71" s="119"/>
    </row>
    <row r="72" spans="1:19" x14ac:dyDescent="0.25">
      <c r="A72" s="123"/>
      <c r="B72" s="21"/>
      <c r="C72" s="21"/>
      <c r="D72" s="119"/>
      <c r="E72" s="21"/>
      <c r="F72" s="124"/>
      <c r="G72" s="122"/>
      <c r="H72" s="119"/>
      <c r="I72" s="119"/>
      <c r="J72" s="121"/>
      <c r="K72" s="119"/>
      <c r="L72" s="119"/>
      <c r="M72" s="119"/>
      <c r="N72" s="119"/>
      <c r="O72" s="119"/>
      <c r="P72" s="119"/>
      <c r="Q72" s="119"/>
      <c r="R72" s="119"/>
      <c r="S72" s="119"/>
    </row>
    <row r="73" spans="1:19" x14ac:dyDescent="0.25">
      <c r="A73" s="123"/>
      <c r="B73" s="21"/>
      <c r="C73" s="21"/>
      <c r="D73" s="119"/>
      <c r="E73" s="21"/>
      <c r="F73" s="124"/>
      <c r="G73" s="122"/>
      <c r="H73" s="119"/>
      <c r="I73" s="119"/>
      <c r="J73" s="121"/>
      <c r="K73" s="119"/>
      <c r="L73" s="119"/>
      <c r="M73" s="119"/>
      <c r="N73" s="119"/>
      <c r="O73" s="119"/>
      <c r="P73" s="119"/>
      <c r="Q73" s="119"/>
      <c r="R73" s="119"/>
      <c r="S73" s="119"/>
    </row>
    <row r="74" spans="1:19" x14ac:dyDescent="0.25">
      <c r="A74" s="123"/>
      <c r="B74" s="21"/>
      <c r="C74" s="21"/>
      <c r="D74" s="119"/>
      <c r="E74" s="21"/>
      <c r="F74" s="124"/>
      <c r="G74" s="122"/>
      <c r="H74" s="119"/>
      <c r="I74" s="119"/>
      <c r="J74" s="121"/>
      <c r="K74" s="119"/>
      <c r="L74" s="119"/>
      <c r="M74" s="119"/>
      <c r="N74" s="119"/>
      <c r="O74" s="119"/>
      <c r="P74" s="119"/>
      <c r="Q74" s="119"/>
      <c r="R74" s="119"/>
      <c r="S74" s="119"/>
    </row>
    <row r="75" spans="1:19" x14ac:dyDescent="0.25">
      <c r="A75" s="123"/>
      <c r="B75" s="21"/>
      <c r="C75" s="21"/>
      <c r="D75" s="119"/>
      <c r="E75" s="21"/>
      <c r="F75" s="124"/>
      <c r="G75" s="122"/>
      <c r="H75" s="119"/>
      <c r="I75" s="119"/>
      <c r="J75" s="121"/>
      <c r="K75" s="119"/>
      <c r="L75" s="119"/>
      <c r="M75" s="119"/>
      <c r="N75" s="119"/>
      <c r="O75" s="119"/>
      <c r="P75" s="119"/>
      <c r="Q75" s="119"/>
      <c r="R75" s="119"/>
      <c r="S75" s="119"/>
    </row>
  </sheetData>
  <autoFilter ref="A15:S15"/>
  <customSheetViews>
    <customSheetView guid="{A9A16196-6861-4A6C-AAFE-6C81857751A4}" scale="80" showGridLines="0" fitToPage="1" showAutoFilter="1" hiddenRows="1">
      <selection activeCell="C9" sqref="C9"/>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s>
  <mergeCells count="1">
    <mergeCell ref="B2:C2"/>
  </mergeCells>
  <conditionalFormatting sqref="F26:F39 F46:F75">
    <cfRule type="cellIs" dxfId="16" priority="17" operator="equal">
      <formula>NEI</formula>
    </cfRule>
  </conditionalFormatting>
  <conditionalFormatting sqref="F26:F39 F46:F75">
    <cfRule type="cellIs" dxfId="15" priority="16" operator="equal">
      <formula>"JA"</formula>
    </cfRule>
  </conditionalFormatting>
  <conditionalFormatting sqref="F26:F39 F46:F75">
    <cfRule type="cellIs" dxfId="14" priority="13" operator="equal">
      <formula>"NEI"</formula>
    </cfRule>
    <cfRule type="cellIs" dxfId="13" priority="14" operator="equal">
      <formula>"JA"</formula>
    </cfRule>
    <cfRule type="cellIs" dxfId="12" priority="15" operator="equal">
      <formula>"JA"</formula>
    </cfRule>
  </conditionalFormatting>
  <conditionalFormatting sqref="G16:G19">
    <cfRule type="cellIs" dxfId="11" priority="12" operator="equal">
      <formula>NEI</formula>
    </cfRule>
  </conditionalFormatting>
  <conditionalFormatting sqref="G16:G19">
    <cfRule type="cellIs" dxfId="10" priority="11" operator="equal">
      <formula>"JA"</formula>
    </cfRule>
  </conditionalFormatting>
  <conditionalFormatting sqref="G16:G19">
    <cfRule type="cellIs" dxfId="9" priority="8" operator="equal">
      <formula>"NEI"</formula>
    </cfRule>
    <cfRule type="cellIs" dxfId="8" priority="9" operator="equal">
      <formula>"JA"</formula>
    </cfRule>
    <cfRule type="cellIs" dxfId="7" priority="10" operator="equal">
      <formula>"JA"</formula>
    </cfRule>
  </conditionalFormatting>
  <conditionalFormatting sqref="F40:F45">
    <cfRule type="cellIs" dxfId="6" priority="7" operator="equal">
      <formula>NEI</formula>
    </cfRule>
  </conditionalFormatting>
  <conditionalFormatting sqref="F40:F45">
    <cfRule type="cellIs" dxfId="5" priority="6" operator="equal">
      <formula>"JA"</formula>
    </cfRule>
  </conditionalFormatting>
  <conditionalFormatting sqref="F40:F45">
    <cfRule type="cellIs" dxfId="4" priority="3" operator="equal">
      <formula>"NEI"</formula>
    </cfRule>
    <cfRule type="cellIs" dxfId="3" priority="4" operator="equal">
      <formula>"JA"</formula>
    </cfRule>
    <cfRule type="cellIs" dxfId="2" priority="5" operator="equal">
      <formula>"JA"</formula>
    </cfRule>
  </conditionalFormatting>
  <conditionalFormatting sqref="D16:D75">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N41"/>
  <sheetViews>
    <sheetView showGridLines="0" zoomScaleNormal="100" workbookViewId="0">
      <selection sqref="A1:B1"/>
    </sheetView>
  </sheetViews>
  <sheetFormatPr baseColWidth="10" defaultColWidth="18.7109375" defaultRowHeight="15" x14ac:dyDescent="0.25"/>
  <cols>
    <col min="1" max="1" width="63.7109375" customWidth="1"/>
    <col min="2" max="2" width="12.5703125" bestFit="1" customWidth="1"/>
    <col min="3" max="9" width="5.42578125" bestFit="1" customWidth="1"/>
    <col min="10" max="14" width="7.140625" bestFit="1" customWidth="1"/>
  </cols>
  <sheetData>
    <row r="1" spans="1:14" ht="23.25" x14ac:dyDescent="0.35">
      <c r="A1" s="128" t="s">
        <v>130</v>
      </c>
      <c r="B1" s="129"/>
      <c r="C1" s="130" t="s">
        <v>125</v>
      </c>
      <c r="D1" s="131"/>
      <c r="E1" s="131"/>
      <c r="F1" s="131"/>
      <c r="G1" s="131"/>
      <c r="H1" s="131"/>
      <c r="I1" s="131"/>
      <c r="J1" s="131"/>
      <c r="K1" s="131"/>
      <c r="L1" s="131"/>
      <c r="M1" s="131"/>
      <c r="N1" s="131"/>
    </row>
    <row r="2" spans="1:14" ht="23.25" x14ac:dyDescent="0.35">
      <c r="A2" s="74" t="s">
        <v>126</v>
      </c>
      <c r="B2" s="74" t="s">
        <v>127</v>
      </c>
      <c r="C2" s="74" t="s">
        <v>31</v>
      </c>
      <c r="D2" s="74" t="s">
        <v>32</v>
      </c>
      <c r="E2" s="74" t="s">
        <v>44</v>
      </c>
      <c r="F2" s="74" t="s">
        <v>53</v>
      </c>
      <c r="G2" s="74" t="s">
        <v>54</v>
      </c>
      <c r="H2" s="74" t="s">
        <v>75</v>
      </c>
      <c r="I2" s="74" t="s">
        <v>76</v>
      </c>
      <c r="J2" s="74" t="s">
        <v>77</v>
      </c>
      <c r="K2" s="74" t="s">
        <v>78</v>
      </c>
      <c r="L2" s="74" t="s">
        <v>81</v>
      </c>
      <c r="M2" s="74" t="s">
        <v>82</v>
      </c>
      <c r="N2" s="74" t="s">
        <v>90</v>
      </c>
    </row>
    <row r="3" spans="1:14" ht="31.5" x14ac:dyDescent="0.25">
      <c r="A3" s="62" t="s">
        <v>131</v>
      </c>
      <c r="B3" s="62" t="s">
        <v>128</v>
      </c>
      <c r="C3" s="3" t="s">
        <v>129</v>
      </c>
      <c r="D3" s="75"/>
      <c r="E3" s="3"/>
      <c r="F3" s="3"/>
      <c r="G3" s="8"/>
      <c r="H3" s="3" t="s">
        <v>129</v>
      </c>
      <c r="I3" s="3"/>
      <c r="J3" s="3"/>
      <c r="K3" s="8" t="s">
        <v>129</v>
      </c>
      <c r="L3" s="75"/>
      <c r="M3" s="3"/>
      <c r="N3" s="3"/>
    </row>
    <row r="4" spans="1:14" ht="31.5" x14ac:dyDescent="0.25">
      <c r="A4" s="62" t="s">
        <v>132</v>
      </c>
      <c r="B4" s="62" t="s">
        <v>128</v>
      </c>
      <c r="C4" s="3" t="s">
        <v>129</v>
      </c>
      <c r="D4" s="75"/>
      <c r="E4" s="3"/>
      <c r="F4" s="3"/>
      <c r="G4" s="8"/>
      <c r="H4" s="3" t="s">
        <v>129</v>
      </c>
      <c r="I4" s="3"/>
      <c r="J4" s="3"/>
      <c r="K4" s="8"/>
      <c r="L4" s="75"/>
      <c r="M4" s="3" t="s">
        <v>129</v>
      </c>
      <c r="N4" s="3"/>
    </row>
    <row r="5" spans="1:14" ht="31.5" x14ac:dyDescent="0.25">
      <c r="A5" s="62" t="s">
        <v>133</v>
      </c>
      <c r="B5" s="62" t="s">
        <v>128</v>
      </c>
      <c r="C5" s="3" t="s">
        <v>129</v>
      </c>
      <c r="D5" s="75"/>
      <c r="E5" s="3"/>
      <c r="F5" s="3"/>
      <c r="G5" s="8"/>
      <c r="H5" s="3" t="s">
        <v>129</v>
      </c>
      <c r="I5" s="3"/>
      <c r="J5" s="3"/>
      <c r="K5" s="8"/>
      <c r="L5" s="76"/>
      <c r="M5" s="3"/>
      <c r="N5" s="3" t="s">
        <v>129</v>
      </c>
    </row>
    <row r="6" spans="1:14" ht="36.6" customHeight="1" x14ac:dyDescent="0.25">
      <c r="A6" s="62" t="s">
        <v>134</v>
      </c>
      <c r="B6" s="62" t="s">
        <v>128</v>
      </c>
      <c r="C6" s="3" t="s">
        <v>129</v>
      </c>
      <c r="D6" s="75"/>
      <c r="E6" s="3"/>
      <c r="F6" s="3"/>
      <c r="G6" s="8"/>
      <c r="H6" s="3"/>
      <c r="I6" s="3" t="s">
        <v>129</v>
      </c>
      <c r="J6" s="3"/>
      <c r="K6" s="8" t="s">
        <v>129</v>
      </c>
      <c r="L6" s="75"/>
      <c r="M6" s="3"/>
      <c r="N6" s="3"/>
    </row>
    <row r="7" spans="1:14" ht="47.25" x14ac:dyDescent="0.25">
      <c r="A7" s="62" t="s">
        <v>135</v>
      </c>
      <c r="B7" s="62" t="s">
        <v>128</v>
      </c>
      <c r="C7" s="3" t="s">
        <v>129</v>
      </c>
      <c r="D7" s="75"/>
      <c r="E7" s="3"/>
      <c r="F7" s="3"/>
      <c r="G7" s="8"/>
      <c r="H7" s="3"/>
      <c r="I7" s="3" t="s">
        <v>129</v>
      </c>
      <c r="J7" s="3"/>
      <c r="K7" s="8"/>
      <c r="L7" s="75"/>
      <c r="M7" s="3" t="s">
        <v>129</v>
      </c>
      <c r="N7" s="3"/>
    </row>
    <row r="8" spans="1:14" ht="47.25" x14ac:dyDescent="0.25">
      <c r="A8" s="62" t="s">
        <v>136</v>
      </c>
      <c r="B8" s="62" t="s">
        <v>128</v>
      </c>
      <c r="C8" s="3" t="s">
        <v>129</v>
      </c>
      <c r="D8" s="75"/>
      <c r="E8" s="3"/>
      <c r="F8" s="3"/>
      <c r="G8" s="8"/>
      <c r="H8" s="3"/>
      <c r="I8" s="3" t="s">
        <v>129</v>
      </c>
      <c r="J8" s="3"/>
      <c r="K8" s="8"/>
      <c r="L8" s="75"/>
      <c r="M8" s="3"/>
      <c r="N8" s="3" t="s">
        <v>129</v>
      </c>
    </row>
    <row r="9" spans="1:14" ht="33.6" customHeight="1" x14ac:dyDescent="0.25">
      <c r="A9" s="62" t="s">
        <v>137</v>
      </c>
      <c r="B9" s="62" t="s">
        <v>128</v>
      </c>
      <c r="C9" s="3" t="s">
        <v>129</v>
      </c>
      <c r="D9" s="75"/>
      <c r="E9" s="3"/>
      <c r="F9" s="3"/>
      <c r="G9" s="8"/>
      <c r="H9" s="3"/>
      <c r="I9" s="3"/>
      <c r="J9" s="3" t="s">
        <v>129</v>
      </c>
      <c r="K9" s="8" t="s">
        <v>129</v>
      </c>
      <c r="L9" s="75"/>
      <c r="M9" s="3"/>
      <c r="N9" s="3"/>
    </row>
    <row r="10" spans="1:14" ht="47.25" x14ac:dyDescent="0.25">
      <c r="A10" s="62" t="s">
        <v>138</v>
      </c>
      <c r="B10" s="62" t="s">
        <v>128</v>
      </c>
      <c r="C10" s="3" t="s">
        <v>129</v>
      </c>
      <c r="D10" s="75"/>
      <c r="E10" s="3"/>
      <c r="F10" s="3"/>
      <c r="G10" s="8"/>
      <c r="H10" s="3"/>
      <c r="I10" s="3"/>
      <c r="J10" s="3" t="s">
        <v>129</v>
      </c>
      <c r="K10" s="8"/>
      <c r="L10" s="75"/>
      <c r="M10" s="3" t="s">
        <v>129</v>
      </c>
      <c r="N10" s="3"/>
    </row>
    <row r="11" spans="1:14" ht="47.25" x14ac:dyDescent="0.25">
      <c r="A11" s="62" t="s">
        <v>139</v>
      </c>
      <c r="B11" s="62" t="s">
        <v>128</v>
      </c>
      <c r="C11" s="3" t="s">
        <v>129</v>
      </c>
      <c r="D11" s="75"/>
      <c r="E11" s="3"/>
      <c r="F11" s="3"/>
      <c r="G11" s="8"/>
      <c r="H11" s="3"/>
      <c r="I11" s="3"/>
      <c r="J11" s="3" t="s">
        <v>129</v>
      </c>
      <c r="K11" s="8"/>
      <c r="L11" s="75"/>
      <c r="M11" s="3"/>
      <c r="N11" s="3" t="s">
        <v>129</v>
      </c>
    </row>
    <row r="12" spans="1:14" ht="47.25" x14ac:dyDescent="0.25">
      <c r="A12" s="62" t="s">
        <v>140</v>
      </c>
      <c r="B12" s="62" t="s">
        <v>128</v>
      </c>
      <c r="C12" s="3"/>
      <c r="D12" s="75"/>
      <c r="E12" s="3" t="s">
        <v>129</v>
      </c>
      <c r="F12" s="3"/>
      <c r="G12" s="8"/>
      <c r="H12" s="3" t="s">
        <v>129</v>
      </c>
      <c r="I12" s="3"/>
      <c r="J12" s="3"/>
      <c r="K12" s="8" t="s">
        <v>129</v>
      </c>
      <c r="L12" s="75"/>
      <c r="M12" s="3"/>
      <c r="N12" s="3"/>
    </row>
    <row r="13" spans="1:14" ht="47.25" x14ac:dyDescent="0.25">
      <c r="A13" s="62" t="s">
        <v>141</v>
      </c>
      <c r="B13" s="62" t="s">
        <v>128</v>
      </c>
      <c r="C13" s="3"/>
      <c r="D13" s="75"/>
      <c r="E13" s="3" t="s">
        <v>129</v>
      </c>
      <c r="F13" s="3"/>
      <c r="G13" s="8"/>
      <c r="H13" s="3" t="s">
        <v>129</v>
      </c>
      <c r="I13" s="3"/>
      <c r="J13" s="3"/>
      <c r="K13" s="8"/>
      <c r="L13" s="75"/>
      <c r="M13" s="3" t="s">
        <v>129</v>
      </c>
      <c r="N13" s="3"/>
    </row>
    <row r="14" spans="1:14" ht="47.25" x14ac:dyDescent="0.25">
      <c r="A14" s="62" t="s">
        <v>142</v>
      </c>
      <c r="B14" s="62" t="s">
        <v>128</v>
      </c>
      <c r="C14" s="3"/>
      <c r="D14" s="75"/>
      <c r="E14" s="3" t="s">
        <v>129</v>
      </c>
      <c r="F14" s="3"/>
      <c r="G14" s="8"/>
      <c r="H14" s="3" t="s">
        <v>129</v>
      </c>
      <c r="I14" s="3"/>
      <c r="J14" s="3"/>
      <c r="K14" s="8"/>
      <c r="L14" s="75"/>
      <c r="M14" s="3"/>
      <c r="N14" s="3" t="s">
        <v>129</v>
      </c>
    </row>
    <row r="15" spans="1:14" ht="47.25" x14ac:dyDescent="0.25">
      <c r="A15" s="62" t="s">
        <v>143</v>
      </c>
      <c r="B15" s="62" t="s">
        <v>128</v>
      </c>
      <c r="C15" s="3"/>
      <c r="D15" s="75"/>
      <c r="E15" s="3" t="s">
        <v>129</v>
      </c>
      <c r="F15" s="3"/>
      <c r="G15" s="8"/>
      <c r="H15" s="3"/>
      <c r="I15" s="3" t="s">
        <v>129</v>
      </c>
      <c r="J15" s="3"/>
      <c r="K15" s="8" t="s">
        <v>129</v>
      </c>
      <c r="L15" s="75"/>
      <c r="M15" s="3"/>
      <c r="N15" s="3"/>
    </row>
    <row r="16" spans="1:14" ht="47.25" x14ac:dyDescent="0.25">
      <c r="A16" s="62" t="s">
        <v>144</v>
      </c>
      <c r="B16" s="62" t="s">
        <v>128</v>
      </c>
      <c r="C16" s="3"/>
      <c r="D16" s="75"/>
      <c r="E16" s="3" t="s">
        <v>129</v>
      </c>
      <c r="F16" s="3"/>
      <c r="G16" s="8"/>
      <c r="H16" s="3"/>
      <c r="I16" s="3" t="s">
        <v>129</v>
      </c>
      <c r="J16" s="3"/>
      <c r="K16" s="8"/>
      <c r="L16" s="75"/>
      <c r="M16" s="3" t="s">
        <v>129</v>
      </c>
      <c r="N16" s="3"/>
    </row>
    <row r="17" spans="1:14" ht="47.25" x14ac:dyDescent="0.25">
      <c r="A17" s="62" t="s">
        <v>145</v>
      </c>
      <c r="B17" s="62" t="s">
        <v>128</v>
      </c>
      <c r="C17" s="3"/>
      <c r="D17" s="75"/>
      <c r="E17" s="3" t="s">
        <v>129</v>
      </c>
      <c r="F17" s="3"/>
      <c r="G17" s="8"/>
      <c r="H17" s="3"/>
      <c r="I17" s="3" t="s">
        <v>129</v>
      </c>
      <c r="J17" s="3"/>
      <c r="K17" s="8"/>
      <c r="L17" s="75"/>
      <c r="M17" s="3"/>
      <c r="N17" s="3" t="s">
        <v>129</v>
      </c>
    </row>
    <row r="18" spans="1:14" ht="47.25" x14ac:dyDescent="0.25">
      <c r="A18" s="62" t="s">
        <v>146</v>
      </c>
      <c r="B18" s="62" t="s">
        <v>128</v>
      </c>
      <c r="C18" s="3"/>
      <c r="D18" s="75"/>
      <c r="E18" s="3" t="s">
        <v>129</v>
      </c>
      <c r="F18" s="3"/>
      <c r="G18" s="8"/>
      <c r="H18" s="3"/>
      <c r="I18" s="3"/>
      <c r="J18" s="3" t="s">
        <v>129</v>
      </c>
      <c r="K18" s="8" t="s">
        <v>129</v>
      </c>
      <c r="L18" s="75"/>
      <c r="M18" s="3"/>
      <c r="N18" s="3"/>
    </row>
    <row r="19" spans="1:14" ht="47.25" x14ac:dyDescent="0.25">
      <c r="A19" s="62" t="s">
        <v>147</v>
      </c>
      <c r="B19" s="62" t="s">
        <v>128</v>
      </c>
      <c r="C19" s="3"/>
      <c r="D19" s="75"/>
      <c r="E19" s="3" t="s">
        <v>129</v>
      </c>
      <c r="F19" s="3"/>
      <c r="G19" s="8"/>
      <c r="H19" s="3"/>
      <c r="I19" s="3"/>
      <c r="J19" s="3" t="s">
        <v>129</v>
      </c>
      <c r="K19" s="8"/>
      <c r="L19" s="75"/>
      <c r="M19" s="3" t="s">
        <v>129</v>
      </c>
      <c r="N19" s="3"/>
    </row>
    <row r="20" spans="1:14" ht="47.25" x14ac:dyDescent="0.25">
      <c r="A20" s="62" t="s">
        <v>148</v>
      </c>
      <c r="B20" s="62" t="s">
        <v>128</v>
      </c>
      <c r="C20" s="3"/>
      <c r="D20" s="75"/>
      <c r="E20" s="3" t="s">
        <v>129</v>
      </c>
      <c r="F20" s="3"/>
      <c r="G20" s="8"/>
      <c r="H20" s="3"/>
      <c r="I20" s="3"/>
      <c r="J20" s="3" t="s">
        <v>129</v>
      </c>
      <c r="K20" s="8"/>
      <c r="L20" s="75"/>
      <c r="M20" s="3"/>
      <c r="N20" s="3" t="s">
        <v>129</v>
      </c>
    </row>
    <row r="21" spans="1:14" ht="47.25" x14ac:dyDescent="0.25">
      <c r="A21" s="62" t="s">
        <v>150</v>
      </c>
      <c r="B21" s="62" t="s">
        <v>128</v>
      </c>
      <c r="C21" s="3"/>
      <c r="D21" s="75"/>
      <c r="E21" s="3"/>
      <c r="F21" s="3" t="s">
        <v>129</v>
      </c>
      <c r="G21" s="8"/>
      <c r="H21" s="3" t="s">
        <v>129</v>
      </c>
      <c r="I21" s="3"/>
      <c r="J21" s="3"/>
      <c r="K21" s="8" t="s">
        <v>129</v>
      </c>
      <c r="L21" s="75"/>
      <c r="M21" s="3"/>
      <c r="N21" s="3"/>
    </row>
    <row r="22" spans="1:14" ht="47.25" x14ac:dyDescent="0.25">
      <c r="A22" s="62" t="s">
        <v>151</v>
      </c>
      <c r="B22" s="62" t="s">
        <v>128</v>
      </c>
      <c r="C22" s="3"/>
      <c r="D22" s="75"/>
      <c r="E22" s="3"/>
      <c r="F22" s="3" t="s">
        <v>129</v>
      </c>
      <c r="G22" s="8"/>
      <c r="H22" s="3" t="s">
        <v>129</v>
      </c>
      <c r="I22" s="3"/>
      <c r="J22" s="3"/>
      <c r="K22" s="8"/>
      <c r="L22" s="75"/>
      <c r="M22" s="3" t="s">
        <v>129</v>
      </c>
      <c r="N22" s="3"/>
    </row>
    <row r="23" spans="1:14" ht="47.25" x14ac:dyDescent="0.25">
      <c r="A23" s="62" t="s">
        <v>152</v>
      </c>
      <c r="B23" s="62" t="s">
        <v>128</v>
      </c>
      <c r="C23" s="3"/>
      <c r="D23" s="75"/>
      <c r="E23" s="3"/>
      <c r="F23" s="3" t="s">
        <v>129</v>
      </c>
      <c r="G23" s="8"/>
      <c r="H23" s="3" t="s">
        <v>129</v>
      </c>
      <c r="I23" s="3"/>
      <c r="J23" s="3"/>
      <c r="K23" s="8"/>
      <c r="L23" s="75"/>
      <c r="M23" s="3"/>
      <c r="N23" s="3" t="s">
        <v>129</v>
      </c>
    </row>
    <row r="24" spans="1:14" ht="47.25" x14ac:dyDescent="0.25">
      <c r="A24" s="62" t="s">
        <v>153</v>
      </c>
      <c r="B24" s="62" t="s">
        <v>128</v>
      </c>
      <c r="C24" s="3"/>
      <c r="D24" s="75"/>
      <c r="E24" s="3"/>
      <c r="F24" s="3" t="s">
        <v>129</v>
      </c>
      <c r="G24" s="8"/>
      <c r="H24" s="3"/>
      <c r="I24" s="3" t="s">
        <v>129</v>
      </c>
      <c r="J24" s="3"/>
      <c r="K24" s="8" t="s">
        <v>129</v>
      </c>
      <c r="L24" s="75"/>
      <c r="M24" s="3"/>
      <c r="N24" s="3"/>
    </row>
    <row r="25" spans="1:14" ht="47.25" x14ac:dyDescent="0.25">
      <c r="A25" s="62" t="s">
        <v>154</v>
      </c>
      <c r="B25" s="62" t="s">
        <v>128</v>
      </c>
      <c r="C25" s="3"/>
      <c r="D25" s="75"/>
      <c r="E25" s="3"/>
      <c r="F25" s="3" t="s">
        <v>129</v>
      </c>
      <c r="G25" s="8"/>
      <c r="H25" s="3"/>
      <c r="I25" s="3" t="s">
        <v>129</v>
      </c>
      <c r="J25" s="3"/>
      <c r="K25" s="8"/>
      <c r="L25" s="75"/>
      <c r="M25" s="3" t="s">
        <v>129</v>
      </c>
      <c r="N25" s="3"/>
    </row>
    <row r="26" spans="1:14" ht="47.25" x14ac:dyDescent="0.25">
      <c r="A26" s="62" t="s">
        <v>155</v>
      </c>
      <c r="B26" s="62" t="s">
        <v>128</v>
      </c>
      <c r="C26" s="3"/>
      <c r="D26" s="75"/>
      <c r="E26" s="3"/>
      <c r="F26" s="3" t="s">
        <v>129</v>
      </c>
      <c r="G26" s="8"/>
      <c r="H26" s="3"/>
      <c r="I26" s="3" t="s">
        <v>129</v>
      </c>
      <c r="J26" s="3"/>
      <c r="K26" s="8"/>
      <c r="L26" s="75"/>
      <c r="M26" s="3"/>
      <c r="N26" s="3" t="s">
        <v>129</v>
      </c>
    </row>
    <row r="27" spans="1:14" ht="47.25" x14ac:dyDescent="0.25">
      <c r="A27" s="62" t="s">
        <v>156</v>
      </c>
      <c r="B27" s="62" t="s">
        <v>128</v>
      </c>
      <c r="C27" s="3"/>
      <c r="D27" s="75"/>
      <c r="E27" s="3"/>
      <c r="F27" s="3" t="s">
        <v>129</v>
      </c>
      <c r="G27" s="8"/>
      <c r="H27" s="3"/>
      <c r="I27" s="3"/>
      <c r="J27" s="3" t="s">
        <v>129</v>
      </c>
      <c r="K27" s="8" t="s">
        <v>129</v>
      </c>
      <c r="L27" s="75"/>
      <c r="M27" s="3"/>
      <c r="N27" s="3"/>
    </row>
    <row r="28" spans="1:14" ht="47.25" x14ac:dyDescent="0.25">
      <c r="A28" s="62" t="s">
        <v>157</v>
      </c>
      <c r="B28" s="62" t="s">
        <v>128</v>
      </c>
      <c r="C28" s="3"/>
      <c r="D28" s="75"/>
      <c r="E28" s="3"/>
      <c r="F28" s="3" t="s">
        <v>129</v>
      </c>
      <c r="G28" s="8"/>
      <c r="H28" s="3"/>
      <c r="I28" s="3"/>
      <c r="J28" s="3" t="s">
        <v>129</v>
      </c>
      <c r="K28" s="8"/>
      <c r="L28" s="75"/>
      <c r="M28" s="3" t="s">
        <v>129</v>
      </c>
      <c r="N28" s="3"/>
    </row>
    <row r="29" spans="1:14" ht="47.25" x14ac:dyDescent="0.25">
      <c r="A29" s="62" t="s">
        <v>158</v>
      </c>
      <c r="B29" s="62" t="s">
        <v>128</v>
      </c>
      <c r="C29" s="3"/>
      <c r="D29" s="75"/>
      <c r="E29" s="3"/>
      <c r="F29" s="3" t="s">
        <v>129</v>
      </c>
      <c r="G29" s="8"/>
      <c r="H29" s="3"/>
      <c r="I29" s="3"/>
      <c r="J29" s="3" t="s">
        <v>129</v>
      </c>
      <c r="K29" s="8"/>
      <c r="L29" s="75"/>
      <c r="M29" s="3"/>
      <c r="N29" s="3" t="s">
        <v>129</v>
      </c>
    </row>
    <row r="30" spans="1:14" ht="47.25" x14ac:dyDescent="0.25">
      <c r="A30" s="62" t="s">
        <v>159</v>
      </c>
      <c r="B30" s="62" t="s">
        <v>128</v>
      </c>
      <c r="C30" s="3"/>
      <c r="D30" s="75"/>
      <c r="E30" s="3"/>
      <c r="F30" s="3"/>
      <c r="G30" s="8" t="s">
        <v>129</v>
      </c>
      <c r="H30" s="3" t="s">
        <v>129</v>
      </c>
      <c r="I30" s="3"/>
      <c r="J30" s="3"/>
      <c r="K30" s="8" t="s">
        <v>129</v>
      </c>
      <c r="L30" s="75"/>
      <c r="M30" s="3"/>
      <c r="N30" s="3"/>
    </row>
    <row r="31" spans="1:14" ht="47.25" x14ac:dyDescent="0.25">
      <c r="A31" s="62" t="s">
        <v>160</v>
      </c>
      <c r="B31" s="62" t="s">
        <v>128</v>
      </c>
      <c r="C31" s="3"/>
      <c r="D31" s="75"/>
      <c r="E31" s="3"/>
      <c r="F31" s="3"/>
      <c r="G31" s="8" t="s">
        <v>129</v>
      </c>
      <c r="H31" s="3" t="s">
        <v>129</v>
      </c>
      <c r="I31" s="3"/>
      <c r="J31" s="3"/>
      <c r="K31" s="8"/>
      <c r="L31" s="75"/>
      <c r="M31" s="3" t="s">
        <v>129</v>
      </c>
      <c r="N31" s="3"/>
    </row>
    <row r="32" spans="1:14" ht="47.25" x14ac:dyDescent="0.25">
      <c r="A32" s="62" t="s">
        <v>161</v>
      </c>
      <c r="B32" s="62" t="s">
        <v>128</v>
      </c>
      <c r="C32" s="3"/>
      <c r="D32" s="75"/>
      <c r="E32" s="3"/>
      <c r="F32" s="3"/>
      <c r="G32" s="8" t="s">
        <v>129</v>
      </c>
      <c r="H32" s="3" t="s">
        <v>129</v>
      </c>
      <c r="I32" s="3"/>
      <c r="J32" s="3"/>
      <c r="K32" s="8"/>
      <c r="L32" s="75"/>
      <c r="M32" s="3"/>
      <c r="N32" s="3" t="s">
        <v>129</v>
      </c>
    </row>
    <row r="33" spans="1:14" ht="47.25" x14ac:dyDescent="0.25">
      <c r="A33" s="62" t="s">
        <v>162</v>
      </c>
      <c r="B33" s="62" t="s">
        <v>128</v>
      </c>
      <c r="C33" s="3"/>
      <c r="D33" s="75"/>
      <c r="E33" s="3"/>
      <c r="F33" s="3"/>
      <c r="G33" s="8" t="s">
        <v>129</v>
      </c>
      <c r="H33" s="3"/>
      <c r="I33" s="3" t="s">
        <v>129</v>
      </c>
      <c r="J33" s="3"/>
      <c r="K33" s="8" t="s">
        <v>129</v>
      </c>
      <c r="L33" s="75"/>
      <c r="M33" s="3"/>
      <c r="N33" s="3"/>
    </row>
    <row r="34" spans="1:14" ht="47.25" x14ac:dyDescent="0.25">
      <c r="A34" s="62" t="s">
        <v>163</v>
      </c>
      <c r="B34" s="62" t="s">
        <v>128</v>
      </c>
      <c r="C34" s="3"/>
      <c r="D34" s="75"/>
      <c r="E34" s="3"/>
      <c r="F34" s="3"/>
      <c r="G34" s="8" t="s">
        <v>129</v>
      </c>
      <c r="H34" s="3"/>
      <c r="I34" s="3" t="s">
        <v>129</v>
      </c>
      <c r="J34" s="3"/>
      <c r="K34" s="8"/>
      <c r="L34" s="75"/>
      <c r="M34" s="3" t="s">
        <v>129</v>
      </c>
      <c r="N34" s="3"/>
    </row>
    <row r="35" spans="1:14" ht="47.25" x14ac:dyDescent="0.25">
      <c r="A35" s="62" t="s">
        <v>164</v>
      </c>
      <c r="B35" s="62" t="s">
        <v>128</v>
      </c>
      <c r="C35" s="3"/>
      <c r="D35" s="75"/>
      <c r="E35" s="3"/>
      <c r="F35" s="3"/>
      <c r="G35" s="8" t="s">
        <v>129</v>
      </c>
      <c r="H35" s="3"/>
      <c r="I35" s="3" t="s">
        <v>129</v>
      </c>
      <c r="J35" s="3"/>
      <c r="K35" s="8"/>
      <c r="L35" s="75"/>
      <c r="M35" s="3"/>
      <c r="N35" s="3" t="s">
        <v>129</v>
      </c>
    </row>
    <row r="36" spans="1:14" ht="47.25" x14ac:dyDescent="0.25">
      <c r="A36" s="62" t="s">
        <v>165</v>
      </c>
      <c r="B36" s="62" t="s">
        <v>128</v>
      </c>
      <c r="C36" s="3"/>
      <c r="D36" s="75"/>
      <c r="E36" s="3"/>
      <c r="F36" s="3"/>
      <c r="G36" s="8" t="s">
        <v>129</v>
      </c>
      <c r="H36" s="3"/>
      <c r="I36" s="3"/>
      <c r="J36" s="3" t="s">
        <v>129</v>
      </c>
      <c r="K36" s="8" t="s">
        <v>129</v>
      </c>
      <c r="L36" s="75"/>
      <c r="M36" s="3"/>
      <c r="N36" s="3"/>
    </row>
    <row r="37" spans="1:14" ht="47.25" x14ac:dyDescent="0.25">
      <c r="A37" s="62" t="s">
        <v>166</v>
      </c>
      <c r="B37" s="62" t="s">
        <v>128</v>
      </c>
      <c r="C37" s="3"/>
      <c r="D37" s="75"/>
      <c r="E37" s="3"/>
      <c r="F37" s="3"/>
      <c r="G37" s="8" t="s">
        <v>129</v>
      </c>
      <c r="H37" s="3"/>
      <c r="I37" s="3"/>
      <c r="J37" s="3" t="s">
        <v>129</v>
      </c>
      <c r="K37" s="8"/>
      <c r="L37" s="75"/>
      <c r="M37" s="3" t="s">
        <v>129</v>
      </c>
      <c r="N37" s="3"/>
    </row>
    <row r="38" spans="1:14" ht="47.25" x14ac:dyDescent="0.25">
      <c r="A38" s="62" t="s">
        <v>167</v>
      </c>
      <c r="B38" s="62" t="s">
        <v>128</v>
      </c>
      <c r="C38" s="3"/>
      <c r="D38" s="75"/>
      <c r="E38" s="3"/>
      <c r="F38" s="3"/>
      <c r="G38" s="8" t="s">
        <v>129</v>
      </c>
      <c r="H38" s="3"/>
      <c r="I38" s="3"/>
      <c r="J38" s="3" t="s">
        <v>129</v>
      </c>
      <c r="K38" s="8"/>
      <c r="L38" s="75"/>
      <c r="M38" s="3"/>
      <c r="N38" s="3" t="s">
        <v>129</v>
      </c>
    </row>
    <row r="39" spans="1:14" ht="31.5" x14ac:dyDescent="0.25">
      <c r="A39" s="62" t="s">
        <v>103</v>
      </c>
      <c r="B39" s="62" t="s">
        <v>127</v>
      </c>
      <c r="C39" s="3" t="s">
        <v>149</v>
      </c>
      <c r="D39" s="75"/>
      <c r="E39" s="3" t="s">
        <v>149</v>
      </c>
      <c r="F39" s="3" t="s">
        <v>149</v>
      </c>
      <c r="G39" s="8" t="s">
        <v>149</v>
      </c>
      <c r="H39" s="3"/>
      <c r="I39" s="3"/>
      <c r="J39" s="3"/>
      <c r="K39" s="8"/>
      <c r="L39" s="75"/>
      <c r="M39" s="3"/>
      <c r="N39" s="3"/>
    </row>
    <row r="40" spans="1:14" ht="31.5" x14ac:dyDescent="0.25">
      <c r="A40" s="62" t="s">
        <v>102</v>
      </c>
      <c r="B40" s="62" t="s">
        <v>127</v>
      </c>
      <c r="C40" s="3"/>
      <c r="D40" s="75"/>
      <c r="E40" s="3"/>
      <c r="F40" s="3"/>
      <c r="G40" s="8"/>
      <c r="H40" s="3" t="s">
        <v>149</v>
      </c>
      <c r="I40" s="3" t="s">
        <v>149</v>
      </c>
      <c r="J40" s="3" t="s">
        <v>149</v>
      </c>
      <c r="K40" s="8"/>
      <c r="L40" s="75"/>
      <c r="M40" s="3"/>
      <c r="N40" s="3"/>
    </row>
    <row r="41" spans="1:14" ht="32.450000000000003" customHeight="1" x14ac:dyDescent="0.25">
      <c r="A41" s="62" t="s">
        <v>102</v>
      </c>
      <c r="B41" s="62" t="s">
        <v>127</v>
      </c>
      <c r="C41" s="3"/>
      <c r="D41" s="75"/>
      <c r="E41" s="3"/>
      <c r="F41" s="3"/>
      <c r="G41" s="8"/>
      <c r="H41" s="3"/>
      <c r="I41" s="3"/>
      <c r="J41" s="3"/>
      <c r="K41" s="8" t="s">
        <v>149</v>
      </c>
      <c r="L41" s="75"/>
      <c r="M41" s="3" t="s">
        <v>149</v>
      </c>
      <c r="N41" s="3" t="s">
        <v>149</v>
      </c>
    </row>
  </sheetData>
  <mergeCells count="2">
    <mergeCell ref="A1:B1"/>
    <mergeCell ref="C1:N1"/>
  </mergeCells>
  <dataValidations count="1">
    <dataValidation type="custom" showInputMessage="1" showErrorMessage="1" error="Det er ikkje tillate å endre denne cella" sqref="A1:N41">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2"/>
  <sheetViews>
    <sheetView showGridLines="0" workbookViewId="0"/>
  </sheetViews>
  <sheetFormatPr baseColWidth="10" defaultRowHeight="15" x14ac:dyDescent="0.25"/>
  <cols>
    <col min="1" max="1" width="44.42578125" customWidth="1"/>
    <col min="2" max="2" width="56.42578125" customWidth="1"/>
    <col min="3" max="3" width="45.28515625" customWidth="1"/>
    <col min="4" max="4" width="29.7109375" customWidth="1"/>
    <col min="5" max="5" width="38" customWidth="1"/>
  </cols>
  <sheetData>
    <row r="1" spans="1:5" ht="28.5" x14ac:dyDescent="0.45">
      <c r="A1" s="9" t="s">
        <v>97</v>
      </c>
      <c r="B1" s="5"/>
    </row>
    <row r="2" spans="1:5" ht="21" x14ac:dyDescent="0.35">
      <c r="A2" s="27" t="s">
        <v>11</v>
      </c>
      <c r="B2" s="27" t="s">
        <v>7</v>
      </c>
      <c r="C2" s="4"/>
      <c r="D2" s="58" t="s">
        <v>88</v>
      </c>
      <c r="E2" s="29" t="s">
        <v>35</v>
      </c>
    </row>
    <row r="3" spans="1:5" ht="45" x14ac:dyDescent="0.25">
      <c r="A3" s="26" t="s">
        <v>98</v>
      </c>
      <c r="B3" s="14" t="s">
        <v>99</v>
      </c>
      <c r="C3" s="4"/>
      <c r="D3" s="3" t="s">
        <v>25</v>
      </c>
      <c r="E3" s="3" t="s">
        <v>36</v>
      </c>
    </row>
    <row r="4" spans="1:5" x14ac:dyDescent="0.25">
      <c r="C4" s="30"/>
      <c r="D4" s="3" t="s">
        <v>15</v>
      </c>
      <c r="E4" s="3" t="s">
        <v>40</v>
      </c>
    </row>
    <row r="5" spans="1:5" x14ac:dyDescent="0.25">
      <c r="C5" s="30"/>
      <c r="D5" s="31"/>
      <c r="E5" s="3" t="s">
        <v>37</v>
      </c>
    </row>
    <row r="6" spans="1:5" x14ac:dyDescent="0.25">
      <c r="C6" s="30"/>
      <c r="D6" s="31"/>
      <c r="E6" s="3" t="s">
        <v>38</v>
      </c>
    </row>
    <row r="7" spans="1:5" x14ac:dyDescent="0.25">
      <c r="C7" s="4"/>
      <c r="E7" s="3" t="s">
        <v>96</v>
      </c>
    </row>
    <row r="8" spans="1:5" ht="18.75" x14ac:dyDescent="0.3">
      <c r="A8" s="11"/>
      <c r="B8" s="12"/>
      <c r="C8" s="4"/>
      <c r="E8" s="3" t="s">
        <v>39</v>
      </c>
    </row>
    <row r="9" spans="1:5" x14ac:dyDescent="0.25">
      <c r="A9" s="13"/>
      <c r="B9" s="10"/>
    </row>
    <row r="10" spans="1:5" x14ac:dyDescent="0.25">
      <c r="E10" s="56" t="s">
        <v>83</v>
      </c>
    </row>
    <row r="11" spans="1:5" x14ac:dyDescent="0.25">
      <c r="E11" s="3" t="s">
        <v>84</v>
      </c>
    </row>
    <row r="12" spans="1:5" ht="28.5" x14ac:dyDescent="0.45">
      <c r="A12" s="7" t="s">
        <v>12</v>
      </c>
      <c r="B12" s="6"/>
      <c r="E12" s="3" t="s">
        <v>80</v>
      </c>
    </row>
    <row r="13" spans="1:5" x14ac:dyDescent="0.25">
      <c r="A13" s="8" t="s">
        <v>13</v>
      </c>
      <c r="B13" s="8" t="s">
        <v>113</v>
      </c>
      <c r="E13" s="3" t="s">
        <v>85</v>
      </c>
    </row>
    <row r="14" spans="1:5" x14ac:dyDescent="0.25">
      <c r="A14" s="3" t="s">
        <v>14</v>
      </c>
      <c r="B14" s="3" t="s">
        <v>15</v>
      </c>
      <c r="E14" s="57" t="s">
        <v>86</v>
      </c>
    </row>
    <row r="15" spans="1:5" x14ac:dyDescent="0.25">
      <c r="E15" s="57" t="s">
        <v>87</v>
      </c>
    </row>
    <row r="26" spans="1:3" ht="28.5" x14ac:dyDescent="0.45">
      <c r="A26" s="9" t="s">
        <v>16</v>
      </c>
      <c r="B26" s="5"/>
      <c r="C26" s="5"/>
    </row>
    <row r="27" spans="1:3" ht="21" x14ac:dyDescent="0.35">
      <c r="A27" s="27" t="s">
        <v>100</v>
      </c>
      <c r="B27" s="66" t="s">
        <v>108</v>
      </c>
      <c r="C27" s="69" t="s">
        <v>109</v>
      </c>
    </row>
    <row r="28" spans="1:3" ht="15.75" x14ac:dyDescent="0.25">
      <c r="A28" s="26" t="s">
        <v>101</v>
      </c>
      <c r="B28" s="67" t="s">
        <v>112</v>
      </c>
      <c r="C28" s="28" t="s">
        <v>110</v>
      </c>
    </row>
    <row r="29" spans="1:3" ht="31.5" x14ac:dyDescent="0.25">
      <c r="A29" s="62" t="s">
        <v>105</v>
      </c>
      <c r="B29" s="64" t="s">
        <v>111</v>
      </c>
      <c r="C29" s="68" t="s">
        <v>111</v>
      </c>
    </row>
    <row r="30" spans="1:3" ht="31.5" x14ac:dyDescent="0.25">
      <c r="A30" s="62" t="s">
        <v>106</v>
      </c>
      <c r="B30" s="65" t="s">
        <v>104</v>
      </c>
      <c r="C30" s="57" t="s">
        <v>104</v>
      </c>
    </row>
    <row r="31" spans="1:3" ht="31.5" x14ac:dyDescent="0.25">
      <c r="A31" s="63" t="s">
        <v>107</v>
      </c>
      <c r="B31" s="70"/>
      <c r="C31" s="71"/>
    </row>
    <row r="32" spans="1:3" ht="47.25" x14ac:dyDescent="0.25">
      <c r="A32" s="62" t="s">
        <v>103</v>
      </c>
      <c r="B32" s="72" t="s">
        <v>102</v>
      </c>
      <c r="C32" s="72" t="s">
        <v>102</v>
      </c>
    </row>
  </sheetData>
  <customSheetViews>
    <customSheetView guid="{A9A16196-6861-4A6C-AAFE-6C81857751A4}">
      <selection activeCell="B22" sqref="B22"/>
      <pageMargins left="0.7" right="0.7" top="0.75" bottom="0.75" header="0.3" footer="0.3"/>
      <pageSetup paperSize="9" orientation="portrait" r:id="rId1"/>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data_ant_live_klipp</vt:lpstr>
      <vt:lpstr>data_ant_mediaalt</vt:lpstr>
      <vt:lpstr>ikke_videoklipp</vt:lpstr>
      <vt:lpstr>kommentar</vt:lpstr>
      <vt:lpstr>nettleser</vt:lpstr>
      <vt:lpstr>S2.9</vt:lpstr>
      <vt:lpstr>side</vt:lpstr>
      <vt:lpstr>slutt_data</vt:lpstr>
      <vt:lpstr>Data!StartTabell</vt:lpstr>
      <vt:lpstr>sum_testa</vt:lpstr>
      <vt:lpstr>uten_lyd</vt:lpstr>
      <vt:lpstr>Registering!Utskriftstitler</vt:lpstr>
      <vt:lpstr>versjon.nettleser</vt:lpstr>
      <vt:lpstr>videoklipp</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2016-06-22T15:07:50Z</cp:lastPrinted>
  <dcterms:created xsi:type="dcterms:W3CDTF">2016-03-07T13:44:49Z</dcterms:created>
  <dcterms:modified xsi:type="dcterms:W3CDTF">2018-06-14T08:39:25Z</dcterms:modified>
</cp:coreProperties>
</file>