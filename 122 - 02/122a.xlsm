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showInkAnnotation="0"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22 - 02\"/>
    </mc:Choice>
  </mc:AlternateContent>
  <bookViews>
    <workbookView xWindow="0" yWindow="0" windowWidth="15105" windowHeight="6885"/>
  </bookViews>
  <sheets>
    <sheet name="Registering" sheetId="1" r:id="rId1"/>
    <sheet name="Data" sheetId="2" r:id="rId2"/>
    <sheet name="Utfall" sheetId="5" r:id="rId3"/>
    <sheet name="Logikk" sheetId="3" r:id="rId4"/>
  </sheets>
  <functionGroups builtInGroupCount="18"/>
  <definedNames>
    <definedName name="_xlnm._FilterDatabase" localSheetId="1" hidden="1">Data!$A$15:$F$37</definedName>
    <definedName name="data_ant_live_klipp">Data!$D$7</definedName>
    <definedName name="data_ant_mediaalt">Data!$D$8</definedName>
    <definedName name="ikke_videoklipp">Data!$D$5</definedName>
    <definedName name="kommentar">Registering!$D$35</definedName>
    <definedName name="nettleser">Registering!$D$8</definedName>
    <definedName name="S2.9">Registering!$D$24</definedName>
    <definedName name="side">Registering!$D$19</definedName>
    <definedName name="slutt_data">Registering!$D$36</definedName>
    <definedName name="StartTabell" localSheetId="1">Data!$A$15</definedName>
    <definedName name="sum_testa">Data!$D$11</definedName>
    <definedName name="uten_lyd">Data!$D$6</definedName>
    <definedName name="_xlnm.Print_Titles" localSheetId="0">Registering!$4:$4</definedName>
    <definedName name="versjon.nettleser">Registering!$D$9</definedName>
    <definedName name="videoklipp">Registering!$D$20</definedName>
    <definedName name="Z_1AA42419_1160_47F5_8DEA_15A50A157DEE_.wvu.FilterData" localSheetId="1" hidden="1">Data!$A$15:$F$26</definedName>
    <definedName name="Z_49E71582_E632_4C02_B1A6_EB43BB56B0A8_.wvu.FilterData" localSheetId="1" hidden="1">Data!$A$15:$F$26</definedName>
    <definedName name="Z_49E71582_E632_4C02_B1A6_EB43BB56B0A8_.wvu.Rows" localSheetId="1" hidden="1">Data!$2:$2</definedName>
    <definedName name="Z_A9A16196_6861_4A6C_AAFE_6C81857751A4_.wvu.FilterData" localSheetId="1" hidden="1">Data!$A$15:$F$26</definedName>
    <definedName name="Z_A9A16196_6861_4A6C_AAFE_6C81857751A4_.wvu.Rows" localSheetId="1" hidden="1">Data!$2:$2</definedName>
    <definedName name="Z_A9A16196_6861_4A6C_AAFE_6C81857751A4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Sterri, Brynhild Runa - Personlig visning" guid="{A9A16196-6861-4A6C-AAFE-6C81857751A4}" mergeInterval="0" personalView="1" maximized="1" xWindow="-11" yWindow="-11" windowWidth="1942" windowHeight="1046" activeSheetId="1" showComments="commIndAndComment"/>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calcChain>
</file>

<file path=xl/sharedStrings.xml><?xml version="1.0" encoding="utf-8"?>
<sst xmlns="http://schemas.openxmlformats.org/spreadsheetml/2006/main" count="390" uniqueCount="192">
  <si>
    <t>Nr</t>
  </si>
  <si>
    <t>1.1</t>
  </si>
  <si>
    <t>1.2</t>
  </si>
  <si>
    <t>2.1</t>
  </si>
  <si>
    <t>1. Førebuing</t>
  </si>
  <si>
    <t>2.2</t>
  </si>
  <si>
    <t>Beskrivelse/Kommentar</t>
  </si>
  <si>
    <t>Type observasjon</t>
  </si>
  <si>
    <t>Samsvar med fasit</t>
  </si>
  <si>
    <t>Dataregistering</t>
  </si>
  <si>
    <t>SK:</t>
  </si>
  <si>
    <t>Nettlesar</t>
  </si>
  <si>
    <t>Dersom</t>
  </si>
  <si>
    <t>Fasit</t>
  </si>
  <si>
    <t>I samsvar dersom</t>
  </si>
  <si>
    <t>Ellers</t>
  </si>
  <si>
    <t>Nei</t>
  </si>
  <si>
    <t>Observasjon</t>
  </si>
  <si>
    <t>1.3</t>
  </si>
  <si>
    <t>1.4</t>
  </si>
  <si>
    <t>Kilde</t>
  </si>
  <si>
    <t>Hjelp</t>
  </si>
  <si>
    <t>Side/Url</t>
  </si>
  <si>
    <t>Opne nettlesaren</t>
  </si>
  <si>
    <t>Instruksjon</t>
  </si>
  <si>
    <t>Videoklipp</t>
  </si>
  <si>
    <t>Ja</t>
  </si>
  <si>
    <r>
      <t xml:space="preserve">1.2.2 Teksting: </t>
    </r>
    <r>
      <rPr>
        <sz val="11"/>
        <color theme="1"/>
        <rFont val="Calibri"/>
        <family val="2"/>
        <scheme val="minor"/>
      </rPr>
      <t>Det gis tilgang til teksting for alt forhåndsinnspilt lydinnhold i synkroniserte medier, bortsett fra når mediene fungerer som mediealternativer til tekst og er tydelig merket som det.</t>
    </r>
  </si>
  <si>
    <t>G93</t>
  </si>
  <si>
    <t>G87</t>
  </si>
  <si>
    <t>3.1</t>
  </si>
  <si>
    <t>3.2</t>
  </si>
  <si>
    <t>3.3</t>
  </si>
  <si>
    <t>3.4</t>
  </si>
  <si>
    <t>2.3</t>
  </si>
  <si>
    <t>1.5</t>
  </si>
  <si>
    <t>Datavalidering nettlesar</t>
  </si>
  <si>
    <t>Internet Explorer</t>
  </si>
  <si>
    <t>Firefox</t>
  </si>
  <si>
    <t>Safari</t>
  </si>
  <si>
    <t>Andre</t>
  </si>
  <si>
    <t>Chrome</t>
  </si>
  <si>
    <t>Registrer kva nettlesar du testar i.</t>
  </si>
  <si>
    <t>Registrer kva versjon av nettlesaren du testar i.</t>
  </si>
  <si>
    <t>Denne finn du ofte under "om" eller i innstillingar for nettlesaren.</t>
  </si>
  <si>
    <t>3.5</t>
  </si>
  <si>
    <r>
      <t xml:space="preserve">2. For kvar video </t>
    </r>
    <r>
      <rPr>
        <sz val="12"/>
        <color theme="1"/>
        <rFont val="Calibri"/>
        <family val="2"/>
        <scheme val="minor"/>
      </rPr>
      <t>(Prosedyren må gjennomførast for kvart enkelt testobjekt. Etter at du har trykt på "legg til data", kan du starte på nytt.)</t>
    </r>
  </si>
  <si>
    <t>Skriv inn url på ei slik form at vi kan nå aktuell nettside ved å klikke på lenka</t>
  </si>
  <si>
    <r>
      <t xml:space="preserve">Sett i gang videoen og høyr etter om det er lyd i videoen. Dersom videoen er lang, kan du ta stikkprøvar på ulike stader i videoen.
</t>
    </r>
    <r>
      <rPr>
        <b/>
        <sz val="11"/>
        <color theme="1"/>
        <rFont val="Calibri"/>
        <family val="2"/>
        <scheme val="minor"/>
      </rPr>
      <t xml:space="preserve">MERK: </t>
    </r>
    <r>
      <rPr>
        <sz val="11"/>
        <color theme="1"/>
        <rFont val="Calibri"/>
        <family val="2"/>
        <scheme val="minor"/>
      </rPr>
      <t xml:space="preserve">Med lyd meinest alle former for lyd, også lyd som ikkje er meiningsbærande eller vesentleg for å formidle innhaldet i videoen. </t>
    </r>
  </si>
  <si>
    <t>Først skal du vurdere om videofila er unntatt frå kravet, jf formulering i suksesskriteriet.</t>
  </si>
  <si>
    <t>Oppgi url for sida videofila ligg på.</t>
  </si>
  <si>
    <t>Skriv inn tittel på videofila.</t>
  </si>
  <si>
    <t>Legg inn tittel på videofila eller stikkord om innhaldet, dersom tittel manglar.</t>
  </si>
  <si>
    <t>I det følgjande skal du vurdere teksting av kvar video</t>
  </si>
  <si>
    <t>3.6</t>
  </si>
  <si>
    <t>3.7</t>
  </si>
  <si>
    <t>F74</t>
  </si>
  <si>
    <t xml:space="preserve">Resultat - Vurdering av unntak </t>
  </si>
  <si>
    <t>Ikkje aktuelt å gjennomføre test som følge av:</t>
  </si>
  <si>
    <t>Testsidene har ikkje video</t>
  </si>
  <si>
    <t>Testsidene har video, men alle er direkte/live (ikkje førehandsinnspelte)</t>
  </si>
  <si>
    <t>Testsidene har video, men alle er mediealternativ til tekst/lyd</t>
  </si>
  <si>
    <t>Resultat - Oppsummert for alle testobjekt</t>
  </si>
  <si>
    <t>Oppsummerte resultat for gjennomførte testar</t>
  </si>
  <si>
    <t>Sum testa videoar</t>
  </si>
  <si>
    <t>Sum videoar som ikkje er i samsvar med fasit</t>
  </si>
  <si>
    <t>Sum videoar som er i samsvar med fasit</t>
  </si>
  <si>
    <t>Resultat - Pr testobjekt</t>
  </si>
  <si>
    <t>G87
G93
F75
F8</t>
  </si>
  <si>
    <t>Aktuelle metodar kan vere:
- Sjå på sidene om det finst ein playknapp eller liknande.
- Bruk internt søk på nettstaden.
- Bruke Google (Du kan bruke "site:urlnettstad søkeord" for å berre søke på ein bestemet nettstad).
Aktuelle søkeomgrep kan være: "Video", "Animasjon", "YouTube", "Viemo", "opptak", "H264", "mpeg4".
Merk at søkeomgrepa over er best tilpassa for søk interent på ein nettstad</t>
  </si>
  <si>
    <t>G87
G93</t>
  </si>
  <si>
    <t>Gjer ein visuell inspeksjon av teksten. 
Vurder om teksten er tilstrekkeleg synleg/lesbar. 
Du skal her vurder teksting mot bakgrunn, altså videoen. Døme på lite lesbar tekst er:
- teksting som ligg oppå annan tekst
- teksting som har tilnærma same farge som bakgrunnen/videoen.</t>
  </si>
  <si>
    <t>Testsidene har ikkje video med lyd</t>
  </si>
  <si>
    <t>4. Kontroller i arkfane "Data" at testdata er lagt til.</t>
  </si>
  <si>
    <t>I det følgjande skal du vurdere om du når eit tekstalternativ via ein mekanisme i form av ei lenke, ein knapp eller liknande</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</si>
  <si>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</si>
  <si>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3.8</t>
  </si>
  <si>
    <t>3.9</t>
  </si>
  <si>
    <t>3.10</t>
  </si>
  <si>
    <t>3.11</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</si>
  <si>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</si>
  <si>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6-10 tabsteg</t>
  </si>
  <si>
    <t>3.12</t>
  </si>
  <si>
    <t>3.13</t>
  </si>
  <si>
    <t>Datavalidering tab-steg</t>
  </si>
  <si>
    <t>1-5 tabsteg</t>
  </si>
  <si>
    <t>Fleire enn 10 tabsteg</t>
  </si>
  <si>
    <t>Når ikkje mekanisme med tastatur</t>
  </si>
  <si>
    <t>Ikkje mogleg å verifisere</t>
  </si>
  <si>
    <t>Kodar for validering Ja/Nei</t>
  </si>
  <si>
    <t>I det følgjande skal du vurdere om det finst tekstalternativ visuelt plassert nær videoklippet/avspelaren</t>
  </si>
  <si>
    <t>3.14</t>
  </si>
  <si>
    <t>Samanlikn tekstalternativet med innhaldet i videoklippet:
- Gå gjennom for eksempel dei første 5 minuttane av videoklippet og vurder om videoklippet og tekstalternativet formidlar det same hovudinnhaldet i lik rekkefølge og sjekk at følgande elemenet er dekka:
 -tale og dialog
- viktige lydeffektar
- markering av kven som snakkar . 
MERK: Vi krev ikkje eksakt attgjevinng av innhaldet, men at alt vesentleg innhald er teke med i rett rekkefølge 
Dersom du allereie i starten av videoklippet avdekkar at det ikkje er samsvar mellom videoklipp og tekstalternativ, kan du stoppe gjennomgangen.</t>
  </si>
  <si>
    <t xml:space="preserve">Opne førehandsdefinert testside eller gjennomfør eit manuelt søk etter videoklipp på nettstaden. 
Dersom du ikkje har funne videoklipp innan få minuttar, kan du avbryte.
</t>
  </si>
  <si>
    <t>3.15</t>
  </si>
  <si>
    <t>Legg inn kommentar i dataregistreringsfeltet</t>
  </si>
  <si>
    <t>F75</t>
  </si>
  <si>
    <t>Edge</t>
  </si>
  <si>
    <t>Observasjon på nettsidenivå</t>
  </si>
  <si>
    <t>Ikkje-førekomst</t>
  </si>
  <si>
    <t>Testsidene har ikkje videoklipp, eller videoklipp er direkte/live,  utan lyd, eller lydklipp er mediealternativ til tekst</t>
  </si>
  <si>
    <t>Teksting</t>
  </si>
  <si>
    <t>Videoklippet er utan teksting</t>
  </si>
  <si>
    <t xml:space="preserve">Videoklippet har eit tekstalternativ som kan nåast, koda som tekst og som gir same bodskap som videoklippet. </t>
  </si>
  <si>
    <t xml:space="preserve">Videoklippet har teksting som er lesbar/visuelt synleg, utan forstyrringar og som gir same bodskap som videoklippet. </t>
  </si>
  <si>
    <t>som ikkje gir same bodskap</t>
  </si>
  <si>
    <t>Videoklippet har teksting som ikkje er lesbar/visuelt synleg</t>
  </si>
  <si>
    <t>Videoklippet har teksting som ikkje gir same bodskap</t>
  </si>
  <si>
    <t>Videoklippet har teksting der viktig informasjon blir forstyrra eller skjult</t>
  </si>
  <si>
    <t>Tekstalternativ nær klippet</t>
  </si>
  <si>
    <t>Tekstalternativ via ein mekanisme</t>
  </si>
  <si>
    <t>utan mekanisme til anna tekstalternativ</t>
  </si>
  <si>
    <t>som ikkje er koda som tekst</t>
  </si>
  <si>
    <t>utan tekstalternativ nær klippet</t>
  </si>
  <si>
    <t>3.7 = ja eller 3.10 = ja eller 3.14 0 ja</t>
  </si>
  <si>
    <t xml:space="preserve">Undersøk om det i tilknytning til videoen finst ein tekst som visuelt står fram som hovudformatet for formidling av informasjonen. 
Indikasjonar på at videoen er eit mediealternativ til tekst kan vere:
- Ikon (for eksempel filmkameraikon) som indikerar at det er et alternativ til ein nærliggande tekst.
- Lenke med lenketekst der det går fram at det er eit videoklipp (til dømes "sjå opptak", "animasjon").
- Eit mediealternativ til tekst er tydeleg merka når det er presentert i direkte nærleik til ein tekst og det ikkje er tvil om at det er et alternativ til den aktuelle teksten.
</t>
  </si>
  <si>
    <t xml:space="preserve">Vurder den visuelle plasseringa av teksten i videoen. 
Korte forstyrringar eller ubetydelige forstyrringar er ok. 
</t>
  </si>
  <si>
    <t xml:space="preserve">Er informasjonen/innhaldet som blir formidla i videoklippet i samsvar med informasjon som blir formidla i teksten? </t>
  </si>
  <si>
    <t>Sjå gjennom dei første minuttane av videoklippet og samanlikn innhaldet i videoklippet med det som vert formidla i tekstinga.   
Merk at teksting og bilete tilsaman skal formidle informasjon som vert gitt via bilete og  lyd i videoen.
MERK: Vi krev ikkje at tekstinga eksakt formidlar innhaldet i lyd og bilete, men at følgjande element er dekka: 
- tale og dialog med markering av kven som snakkar (dersom du kan forstå kven som snakkar ut frå den visuelle infomasjonen i videoen, treng ikkje teksten å formidle dette).
- viktige lydeffektar</t>
  </si>
  <si>
    <t>Samanlikn tekstalternativet med innhaldet i videoklippet:
- Gå gjennom dei første minuttane av videoklippet.
- Vurder om videoklipp og tekstalternativ formidlar det same hovudinnhaldet i lik rekkefølge. 
- MERK: Vi krev ikkje eksakt attgjevinng av innhaldet, men at alt vesentleg innhald er teke med i rett rekkefølge.
Dersom du allereie i starten av videoklippet avdekkar at det ikkje er samsvar mellom videoklipp og tekstalternativ, kan du stoppe gjennomgangen.</t>
  </si>
  <si>
    <t>Aktuelle metodar for å finne ut dette er:
- Prøv å starte videoklippet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</si>
  <si>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videoklippet.
Du skal ikkje måtte scrolle vekk frå videoklippet for å finne teksten. (Du kan scrolle på sida, men videoklippet skal fortsatt vere synleg i nettlesaren).
Merk at det er ok at du må scrolle for å lese gjennom teksten.</t>
  </si>
  <si>
    <t>Start videoklippet og sjekk om videoen har teksting. 
Teksting blir òg omtala som undertekst.</t>
  </si>
  <si>
    <t>Sjå etter om det finst ein knapp eller mekanisme i spelaren for å slå på/av teksting.
Merk at du ofte må føre musepeikar over videoen for å få fram handlingsalternativ (t.d. aktivere tekst).
 Teksting kan aktiverast ved:
- knapp med til dømes CC (closed caption), 
- knapp med linje/strek eller liknande som indikerer at du kan aktivere tekst</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</si>
  <si>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</si>
  <si>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</si>
  <si>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Registrering</t>
  </si>
  <si>
    <t>Utfall</t>
  </si>
  <si>
    <t>Samsvar</t>
  </si>
  <si>
    <t>Vurdering</t>
  </si>
  <si>
    <t>Skala</t>
  </si>
  <si>
    <t>Brudd</t>
  </si>
  <si>
    <t>nei</t>
  </si>
  <si>
    <t>1.2.2 a</t>
  </si>
  <si>
    <t>Videoklippet er utan teksting, utan tekstalternativ nær klippet og utan mekanisme til anna tekstalternativ.</t>
  </si>
  <si>
    <t>Videoklippet er utan teksting, utan tekstalternativ nær klippet og tekstalternativ via ein mekanisme som ikkje er koda som tekst.</t>
  </si>
  <si>
    <t>Videoklippet er utan teksting, utan tekstalternativ nær klippet og tekstalternativ via ein mekanisme som ikkje gir same bodskap.</t>
  </si>
  <si>
    <t>Videoklippet er utan teksting, tekstalternativ nær klippet som ikkje er koda som tekst og utan mekanisme til anna tekstalternativ.</t>
  </si>
  <si>
    <t>Videoklippet er utan teksting, tekstalternativ nær klippet som ikkje er koda som tekst og tekstalternativ via ein mekanisme som ikkje er koda som tekst.</t>
  </si>
  <si>
    <t>Videoklippet er utan teksting, tekstalternativ nær klippet som ikkje er koda som tekst og tekstalternativ via ein mekanisme som ikkje gir same bodskap.</t>
  </si>
  <si>
    <t>Videoklippet er utan teksting, tekstalternativ nær klippet som ikkje gir same bodskap og utan mekanisme til anna tekstalternativ.</t>
  </si>
  <si>
    <t>Videoklippet er utan teksting, tekstalternativ nær klippet som ikkje gir same bodskap og tekstalternativ via ein mekanisme som ikkje er koda som tekst.</t>
  </si>
  <si>
    <t>Videoklippet er utan teksting, tekstalternativ nær klippet som ikkje gir same bodskap og tekstalternativ via ein mekanisme som ikkje gir same bodskap.</t>
  </si>
  <si>
    <t>Videoklippet har teksting som ikkje er lesbar/visuelt synleg, utan tekstalternativ nær klippet og utan mekanisme til anna tekstalternativ.</t>
  </si>
  <si>
    <t>Videoklippet har teksting som ikkje er lesbar/visuelt synleg, utan tekstalternativ nær klippet og tekstalternativ via ein mekanisme som ikkje er koda som tekst.</t>
  </si>
  <si>
    <t>Videoklippet har teksting som ikkje er lesbar/visuelt synleg, utan tekstalternativ nær klippet og tekstalternativ via ein mekanisme som ikkje gir same bodskap.</t>
  </si>
  <si>
    <t>Videoklippet har teksting som ikkje er lesbar/visuelt synleg, tekstalternativ nær klippet som ikkje er koda som tekst og utan mekanisme til anna tekstalternativ.</t>
  </si>
  <si>
    <t>Videoklippet har teksting som ikkje er lesbar/visuelt synleg, tekstalternativ nær klippet som ikkje er koda som tekst og tekstalternativ via ein mekanisme som ikkje er koda som tekst.</t>
  </si>
  <si>
    <t>Videoklippet har teksting som ikkje er lesbar/visuelt synleg, tekstalternativ nær klippet som ikkje er koda som tekst og tekstalternativ via ein mekanisme som ikkje gir same bodskap.</t>
  </si>
  <si>
    <t>Videoklippet har teksting som ikkje er lesbar/visuelt synleg,  tekstalternativ nær klippet som ikkje gir same bodskap og utan mekanisme til anna tekstalternativ.</t>
  </si>
  <si>
    <t>Videoklippet har teksting som ikkje er lesbar/visuelt synleg,  tekstalternativ nær klippet som ikkje gir same bodskap og tekstalternativ via ein mekanisme som ikkje er koda som tekst.</t>
  </si>
  <si>
    <t>Videoklippet har teksting som ikkje er lesbar/visuelt synleg,  tekstalternativ nær klippet som ikkje gir same bodskap og tekstalternativ via ein mekanisme som ikkje gir same bodskap.</t>
  </si>
  <si>
    <t>ja</t>
  </si>
  <si>
    <t>Videoklippet har teksting som ikkje gir same bodskap, utan tekstalternativ nær klippet og utan mekanisme til anna tekstalternativ.</t>
  </si>
  <si>
    <t>Videoklippet har teksting som ikkje gir same bodskap, utan tekstalternativ nær klippet og tekstalternativ via ein mekanisme som ikkje er koda som tekst.</t>
  </si>
  <si>
    <t>Videoklippet har teksting som ikkje gir same bodskap, utan tekstalternativ nær klippet og tekstalternativ via ein mekanisme som ikkje gir same bodskap.</t>
  </si>
  <si>
    <t>Videoklippet har teksting som ikkje gir same bodskap, tekstalternativ nær klippet som ikkje er koda som tekst og utan mekanisme til anna tekstalternativ.</t>
  </si>
  <si>
    <t>Videoklippet har teksting som ikkje gir same bodskap, tekstalternativ nær klippet som ikkje er koda som tekst og tekstalternativ via ein mekanisme som ikkje er koda som tekst.</t>
  </si>
  <si>
    <t>Videoklippet har teksting som ikkje gir same bodskap, tekstalternativ nær klippet som ikkje er koda som tekst og tekstalternativ via ein mekanisme som ikkje gir same bodskap.</t>
  </si>
  <si>
    <t>Videoklippet har teksting som ikkje gir same bodskap, tekstalternativ nær klippet som ikkje gir same bodskap og utan mekanisme til anna tekstalternativ.</t>
  </si>
  <si>
    <t>Videoklippet har teksting som ikkje gir same bodskap, tekstalternativ nær klippet som ikkje gir same bodskap og tekstalternativ via ein mekanisme som ikkje er koda som tekst.</t>
  </si>
  <si>
    <t>Videoklippet har teksting som ikkje gir same bodskap, tekstalternativ nær klippet som ikkje gir same bodskap og tekstalternativ via ein mekanisme som ikkje gir same bodskap.</t>
  </si>
  <si>
    <t>Videoklippet har teksting der viktig informasjon blir forstyrra eller skjult, utan tekstalternativ nær klippet og utan mekanisme til anna tekstalternativ.</t>
  </si>
  <si>
    <t>Videoklippet har teksting der viktig informasjon blir forstyrra eller skjult, utan tekstalternativ nær klippet og tekstalternativ via ein mekanisme som ikkje er koda som tekst.</t>
  </si>
  <si>
    <t>Videoklippet har teksting der viktig informasjon blir forstyrra eller skjult, utan tekstalternativ nær klippet og tekstalternativ via ein mekanisme som ikkje gir same bodskap.</t>
  </si>
  <si>
    <t>Videoklippet har teksting der viktig informasjon blir forstyrra eller skjult, tekstalternativ nær klippet som ikkje er koda som tekst og utan mekanisme til anna tekstalternativ.</t>
  </si>
  <si>
    <t>Videoklippet har teksting der viktig informasjon blir forstyrra eller skjult, tekstalternativ nær klippet som ikkje er koda som tekst og  tekstalternativ via ein mekanisme som ikkje er koda som tekst.</t>
  </si>
  <si>
    <t>Videoklippet har teksting der viktig informasjon blir forstyrra eller skjult, tekstalternativ nær klippet som ikkje er koda som tekst og tekstalternativ via ein mekanisme som ikkje gir same bodskap.</t>
  </si>
  <si>
    <t>Videoklippet har teksting der viktig informasjon blir forstyrra eller skjult, tekstalternativ nær klippet som ikkje gir same bodskap og utan mekanisme til anna tekstalternativ.</t>
  </si>
  <si>
    <t>Videoklippet har teksting der viktig informasjon blir forstyrra eller skjult, tekstalternativ nær klippet som ikkje gir same bodskap og tekstalternativ via ein mekanisme som ikkje er koda som tekst.</t>
  </si>
  <si>
    <t>Videoklippet har teksting der viktig informasjon blir forstyrra eller skjult, tekstalternativ nær klippet som ikkje gir same bodskap og tekstalternativ via ein mekanisme som ikkje gir same bodskap</t>
  </si>
  <si>
    <t>Steg</t>
  </si>
  <si>
    <t>3. For kvar enkelt forhåndsinnspelt video med lyd</t>
  </si>
  <si>
    <r>
      <t xml:space="preserve">Har videoen lyd?
</t>
    </r>
    <r>
      <rPr>
        <b/>
        <sz val="11"/>
        <color rgb="FFFF0000"/>
        <rFont val="Calibri"/>
        <family val="2"/>
        <scheme val="minor"/>
      </rPr>
      <t>Viss Nei, gå til steg 3.15 for å skrive inn kommentar.</t>
    </r>
  </si>
  <si>
    <r>
      <t xml:space="preserve">Er videoen forhåndsinnspelt?
</t>
    </r>
    <r>
      <rPr>
        <b/>
        <sz val="11"/>
        <color rgb="FFFF0000"/>
        <rFont val="Calibri"/>
        <family val="2"/>
        <scheme val="minor"/>
      </rPr>
      <t>Viss Nei, gå til steg 3.15 for å skrive inn kommentar.</t>
    </r>
  </si>
  <si>
    <r>
      <t xml:space="preserve">Er videoen eit mediealternativ til tekst og tydeleg merka som det?
</t>
    </r>
    <r>
      <rPr>
        <b/>
        <sz val="11"/>
        <color rgb="FFFF0000"/>
        <rFont val="Calibri"/>
        <family val="2"/>
        <scheme val="minor"/>
      </rPr>
      <t>Viss Ja, gå til steg 3.15 for å skrive inn kommentar.</t>
    </r>
  </si>
  <si>
    <r>
      <t xml:space="preserve">Er det mogeleg å slå på teksting i videoen?
</t>
    </r>
    <r>
      <rPr>
        <b/>
        <sz val="11"/>
        <color rgb="FFFF0000"/>
        <rFont val="Calibri"/>
        <family val="2"/>
        <scheme val="minor"/>
      </rPr>
      <t>Viss Nei, gå til steg til 3.8.</t>
    </r>
  </si>
  <si>
    <r>
      <t xml:space="preserve">Er tekstinga lesbar/visuelt synleg?
</t>
    </r>
    <r>
      <rPr>
        <b/>
        <sz val="11"/>
        <color rgb="FFFF0000"/>
        <rFont val="Calibri"/>
        <family val="2"/>
        <scheme val="minor"/>
      </rPr>
      <t>Viss Nei, gå til steg til 3.8.</t>
    </r>
  </si>
  <si>
    <r>
      <t xml:space="preserve">Er informasjonen/innhaldet som blir formidla i tekstinga samsvar med informasjon som blir formidla i via lyd og bilete i videoen? 
</t>
    </r>
    <r>
      <rPr>
        <b/>
        <sz val="11"/>
        <color rgb="FFFF0000"/>
        <rFont val="Calibri"/>
        <family val="2"/>
        <scheme val="minor"/>
      </rPr>
      <t>Viss Nei, gå til steg 3.8.</t>
    </r>
    <r>
      <rPr>
        <b/>
        <sz val="11"/>
        <color theme="1"/>
        <rFont val="Calibri"/>
        <family val="2"/>
        <scheme val="minor"/>
      </rPr>
      <t xml:space="preserve">
</t>
    </r>
  </si>
  <si>
    <r>
      <t xml:space="preserve">Forstyrrar eller skjuler tekstinga viktig informasjon i videoen?
</t>
    </r>
    <r>
      <rPr>
        <b/>
        <sz val="11"/>
        <color rgb="FFFF0000"/>
        <rFont val="Calibri"/>
        <family val="2"/>
        <scheme val="minor"/>
      </rPr>
      <t>Viss Nei, gå til steg 3.15 for å skrive inn kommentar.</t>
    </r>
  </si>
  <si>
    <r>
      <t xml:space="preserve">Finst det ein tekst visuelt plassert nær videoklippet/avspelaren som omtaler klippet?
</t>
    </r>
    <r>
      <rPr>
        <b/>
        <sz val="11"/>
        <color rgb="FFFF0000"/>
        <rFont val="Calibri"/>
        <family val="2"/>
        <scheme val="minor"/>
      </rPr>
      <t>Viss Nei, gå til steg 3.11.</t>
    </r>
  </si>
  <si>
    <r>
      <t xml:space="preserve">Er tekstalternativet koda som tekst?
</t>
    </r>
    <r>
      <rPr>
        <b/>
        <sz val="11"/>
        <color rgb="FFFF0000"/>
        <rFont val="Calibri"/>
        <family val="2"/>
        <scheme val="minor"/>
      </rPr>
      <t>Viss Nei, gå til steg 3.11.</t>
    </r>
  </si>
  <si>
    <r>
      <t xml:space="preserve">Er informasjonen/innhaldet som blir formidla i videoklippet i samsvar med informasjon som blir formidla i teksten?  
</t>
    </r>
    <r>
      <rPr>
        <b/>
        <sz val="11"/>
        <color rgb="FFFF0000"/>
        <rFont val="Calibri"/>
        <family val="2"/>
        <scheme val="minor"/>
      </rPr>
      <t>Viss Ja, gå til steg 3.15 for å skrive inn kommentar.</t>
    </r>
  </si>
  <si>
    <r>
      <t xml:space="preserve">Finst det ein mekanisme (lenke, knapp eller liknande) nær videoklippet som tilseier at du vert leia til eit tekstalternativ til videoklippet?
</t>
    </r>
    <r>
      <rPr>
        <b/>
        <sz val="11"/>
        <color rgb="FFFF0000"/>
        <rFont val="Calibri"/>
        <family val="2"/>
        <scheme val="minor"/>
      </rPr>
      <t>Viss Nei, gå til steg 3.15 for å skrive inn kommentar.</t>
    </r>
  </si>
  <si>
    <r>
      <t xml:space="preserve">Er tekstalternativet koda som tekst?
</t>
    </r>
    <r>
      <rPr>
        <b/>
        <sz val="11"/>
        <color rgb="FFFF0000"/>
        <rFont val="Calibri"/>
        <family val="2"/>
        <scheme val="minor"/>
      </rPr>
      <t>Viss Nei, gå til steg 3.15 for å skrive inn kommentar.</t>
    </r>
  </si>
  <si>
    <t>Eventuelt: 
Legg til kommentar som utdjupar testresultat eller liknande.
Trykk på knappen "Legg til data".</t>
  </si>
  <si>
    <r>
      <rPr>
        <b/>
        <sz val="11"/>
        <color theme="1"/>
        <rFont val="Calibri"/>
        <family val="2"/>
        <scheme val="minor"/>
      </rPr>
      <t xml:space="preserve">Krav til samsvar:
</t>
    </r>
    <r>
      <rPr>
        <sz val="11"/>
        <color theme="1"/>
        <rFont val="Calibri"/>
        <family val="2"/>
        <scheme val="minor"/>
      </rPr>
      <t>Forhåndsinnspelt video med lyd som ikkje er eit mediealternativ til tekst, har alternativ i form av teksting eller tekstalternativ.
- Teksting, som anten ligg fast (open teksting) eller som kan slåast på (skjult teksting).
- Tekstinga formidlar innhaldet i lyd og bilete og inneheld følgjande element: Tale og dialog med markering av kven som snakkar og lydinnhald som er viktig for å forstå videoen.
- Teksten skal vere visuelt synleg og ikkje forstyrre viktig innhald i videoen.
- Alternativt kan videoen ha eit tekstalternativ som er visuelt plassert nær videoklippet, eller kan nåast via ein mekanisme (lenke,knapp eller liknande). 
- Tekstalternativet må vere koda som tekst.
- Tekstalternativet formidlar innhaldet i lyd og bilete og inneheld følgjande element: Tale og dialog med markering av kven som snakkar og lydinnhald som er viktig for å forstå videoen.
Merk: Vi krev ikkje eksakt attgjevinng av innhaldet, men at alt vesentleg innhald er teke med i rett rekkefølge.</t>
    </r>
  </si>
  <si>
    <r>
      <t xml:space="preserve">Er videoen teksta ?
</t>
    </r>
    <r>
      <rPr>
        <b/>
        <sz val="11"/>
        <color rgb="FFFF0000"/>
        <rFont val="Calibri"/>
        <family val="2"/>
        <scheme val="minor"/>
      </rPr>
      <t>Viss Ja, gå til steg 3.5.</t>
    </r>
  </si>
  <si>
    <t>1.2.2 a Forhåndsinnspelt video med lyd har teksting</t>
  </si>
  <si>
    <t>Sist oppdatert av Difi</t>
  </si>
  <si>
    <t>Utfall (oppsummering av observasjon)</t>
  </si>
  <si>
    <r>
      <t xml:space="preserve">Har nettstaden videoklipp?
</t>
    </r>
    <r>
      <rPr>
        <b/>
        <sz val="11"/>
        <color rgb="FFFF0000"/>
        <rFont val="Calibri"/>
        <family val="2"/>
        <scheme val="minor"/>
      </rPr>
      <t>Viss Nei, gå til steg 3.15 for å skrive inn kommentar.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</si>
</sst>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2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4">
    <xf numFmtId="0" fontId="0" fillId="0" borderId="0" xfId="0"/>
    <xf numFmtId="0" fontId="0" fillId="0" borderId="0" xfId="0" applyAlignment="1">
      <alignment vertical="center"/>
    </xf>
    <xf numFmtId="0" fontId="0" fillId="7" borderId="2" xfId="0" applyFill="1" applyBorder="1"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3"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7" borderId="0" xfId="0" applyFill="1" applyAlignment="1">
      <alignment vertical="center"/>
    </xf>
    <xf numFmtId="0" fontId="7" fillId="7" borderId="0" xfId="0" applyFont="1"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0" fontId="0" fillId="5" borderId="0" xfId="0" applyFill="1" applyAlignment="1">
      <alignment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1"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5" borderId="0" xfId="0" applyFill="1" applyBorder="1" applyAlignment="1">
      <alignment horizontal="left" vertical="center"/>
    </xf>
    <xf numFmtId="0" fontId="10" fillId="0" borderId="4" xfId="0" applyFont="1" applyBorder="1"/>
    <xf numFmtId="0" fontId="9" fillId="0" borderId="4" xfId="0" applyFont="1" applyBorder="1"/>
    <xf numFmtId="0" fontId="0" fillId="0" borderId="4" xfId="0" applyBorder="1"/>
    <xf numFmtId="0" fontId="0" fillId="7" borderId="0" xfId="0" applyFill="1"/>
    <xf numFmtId="0" fontId="0" fillId="0" borderId="6" xfId="0" applyBorder="1"/>
    <xf numFmtId="0" fontId="0" fillId="0" borderId="5" xfId="0" applyBorder="1"/>
    <xf numFmtId="0" fontId="2" fillId="3" borderId="7" xfId="0" applyFont="1" applyFill="1" applyBorder="1" applyAlignment="1">
      <alignment horizontal="left" vertical="center"/>
    </xf>
    <xf numFmtId="0" fontId="2" fillId="3" borderId="7" xfId="0" applyFont="1" applyFill="1" applyBorder="1" applyAlignment="1">
      <alignment vertical="center"/>
    </xf>
    <xf numFmtId="0" fontId="2" fillId="3" borderId="7" xfId="0" applyFont="1" applyFill="1" applyBorder="1" applyAlignment="1">
      <alignment vertical="center" wrapText="1"/>
    </xf>
    <xf numFmtId="0" fontId="0" fillId="7" borderId="0" xfId="0" applyFill="1" applyAlignment="1">
      <alignment vertical="center" wrapText="1"/>
    </xf>
    <xf numFmtId="0" fontId="0" fillId="7" borderId="0" xfId="0" applyFill="1" applyAlignment="1">
      <alignment horizontal="left" vertical="center"/>
    </xf>
    <xf numFmtId="0" fontId="0" fillId="5" borderId="8" xfId="0" applyFill="1" applyBorder="1" applyAlignment="1">
      <alignment vertical="center" wrapText="1"/>
    </xf>
    <xf numFmtId="49" fontId="0" fillId="5" borderId="8" xfId="0" applyNumberFormat="1" applyFill="1" applyBorder="1" applyAlignment="1">
      <alignment horizontal="center" vertical="center"/>
    </xf>
    <xf numFmtId="0" fontId="2" fillId="3" borderId="0" xfId="0" applyFont="1" applyFill="1" applyBorder="1" applyAlignment="1">
      <alignment horizontal="left" vertical="center"/>
    </xf>
    <xf numFmtId="49" fontId="0" fillId="7" borderId="0" xfId="0" applyNumberFormat="1" applyFont="1" applyFill="1" applyAlignment="1">
      <alignment horizontal="left" vertical="center"/>
    </xf>
    <xf numFmtId="49" fontId="0" fillId="7" borderId="0" xfId="0" applyNumberFormat="1" applyFill="1" applyAlignment="1">
      <alignment horizontal="center" vertical="center" wrapText="1"/>
    </xf>
    <xf numFmtId="49" fontId="0" fillId="7" borderId="0" xfId="0" applyNumberFormat="1" applyFill="1" applyAlignment="1">
      <alignment horizontal="left" vertical="center"/>
    </xf>
    <xf numFmtId="0" fontId="0" fillId="5" borderId="8" xfId="0" applyFill="1" applyBorder="1" applyAlignment="1">
      <alignment vertical="center"/>
    </xf>
    <xf numFmtId="0" fontId="0" fillId="0" borderId="0" xfId="0" applyFill="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0" fillId="0" borderId="0" xfId="0" applyAlignment="1">
      <alignment horizontal="center" vertical="center"/>
    </xf>
    <xf numFmtId="0" fontId="7" fillId="7" borderId="0" xfId="0" applyFont="1" applyFill="1" applyAlignment="1">
      <alignment horizontal="left" vertical="center"/>
    </xf>
    <xf numFmtId="0" fontId="0" fillId="7" borderId="0" xfId="0" applyFill="1" applyAlignment="1">
      <alignment horizontal="center" vertical="center"/>
    </xf>
    <xf numFmtId="0" fontId="3" fillId="5" borderId="0" xfId="0" applyFont="1" applyFill="1" applyAlignment="1">
      <alignment horizontal="left" vertical="center"/>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6" borderId="2" xfId="0" applyFill="1" applyBorder="1" applyAlignment="1">
      <alignment vertical="center"/>
    </xf>
    <xf numFmtId="0" fontId="0" fillId="0" borderId="2" xfId="0" applyBorder="1" applyAlignment="1">
      <alignment horizontal="center" vertical="center"/>
    </xf>
    <xf numFmtId="0" fontId="0" fillId="6" borderId="1" xfId="0" applyFill="1" applyBorder="1" applyAlignment="1">
      <alignment horizontal="left" vertical="center"/>
    </xf>
    <xf numFmtId="0" fontId="0" fillId="0" borderId="0" xfId="0" applyAlignment="1">
      <alignment horizontal="left" vertical="center"/>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49" fontId="3" fillId="7" borderId="0" xfId="0" applyNumberFormat="1" applyFont="1" applyFill="1" applyAlignment="1">
      <alignment horizontal="center" vertical="center"/>
    </xf>
    <xf numFmtId="49" fontId="3" fillId="7" borderId="0" xfId="0" applyNumberFormat="1" applyFont="1" applyFill="1" applyAlignment="1">
      <alignment horizontal="center" vertical="center" wrapText="1"/>
    </xf>
    <xf numFmtId="49" fontId="3" fillId="7" borderId="0" xfId="0" applyNumberFormat="1" applyFont="1" applyFill="1" applyAlignment="1">
      <alignment horizontal="left" vertical="center"/>
    </xf>
    <xf numFmtId="0" fontId="0" fillId="6" borderId="1" xfId="0" applyFill="1" applyBorder="1" applyAlignment="1">
      <alignment horizontal="center" vertical="center" wrapText="1"/>
    </xf>
    <xf numFmtId="0" fontId="0" fillId="10" borderId="0" xfId="0" applyFill="1"/>
    <xf numFmtId="0" fontId="0" fillId="0" borderId="3" xfId="0" applyBorder="1" applyAlignment="1">
      <alignment wrapText="1"/>
    </xf>
    <xf numFmtId="0" fontId="2" fillId="9" borderId="4" xfId="0" applyFont="1" applyFill="1" applyBorder="1"/>
    <xf numFmtId="0" fontId="14" fillId="4" borderId="0" xfId="0" applyFont="1" applyFill="1" applyAlignment="1">
      <alignment vertical="center"/>
    </xf>
    <xf numFmtId="0" fontId="15" fillId="4" borderId="0" xfId="0" applyFont="1" applyFill="1" applyAlignment="1">
      <alignment vertical="center"/>
    </xf>
    <xf numFmtId="0" fontId="15" fillId="0" borderId="0" xfId="0" applyFont="1" applyAlignment="1">
      <alignment vertical="center"/>
    </xf>
    <xf numFmtId="0" fontId="10" fillId="0" borderId="4" xfId="0" applyFont="1" applyBorder="1" applyAlignment="1">
      <alignment wrapText="1"/>
    </xf>
    <xf numFmtId="0" fontId="10" fillId="0" borderId="0" xfId="0" applyFont="1" applyFill="1" applyBorder="1" applyAlignment="1">
      <alignment wrapText="1"/>
    </xf>
    <xf numFmtId="0" fontId="0" fillId="6" borderId="2" xfId="0" applyFill="1" applyBorder="1" applyAlignment="1">
      <alignment horizontal="center" vertical="center"/>
    </xf>
    <xf numFmtId="0" fontId="10" fillId="0" borderId="10" xfId="0" applyFont="1" applyBorder="1" applyAlignment="1"/>
    <xf numFmtId="0" fontId="10" fillId="0" borderId="3" xfId="0" applyFont="1" applyBorder="1" applyAlignment="1"/>
    <xf numFmtId="0" fontId="9" fillId="0" borderId="9" xfId="0" applyFont="1" applyBorder="1" applyAlignment="1">
      <alignment vertical="top" wrapText="1"/>
    </xf>
    <xf numFmtId="0" fontId="10" fillId="0" borderId="9" xfId="0" applyFont="1" applyBorder="1" applyAlignment="1"/>
    <xf numFmtId="0" fontId="0" fillId="0" borderId="11" xfId="0" applyBorder="1" applyAlignment="1">
      <alignment wrapText="1"/>
    </xf>
    <xf numFmtId="0" fontId="9" fillId="0" borderId="4" xfId="0" applyFont="1" applyBorder="1" applyAlignment="1">
      <alignment vertical="top"/>
    </xf>
    <xf numFmtId="0" fontId="0" fillId="0" borderId="12" xfId="0" applyBorder="1" applyAlignment="1">
      <alignment vertical="top" wrapText="1"/>
    </xf>
    <xf numFmtId="0" fontId="0" fillId="0" borderId="12" xfId="0" applyFill="1" applyBorder="1" applyAlignment="1">
      <alignment vertical="center" wrapText="1"/>
    </xf>
    <xf numFmtId="0" fontId="0" fillId="0" borderId="4" xfId="0" applyBorder="1" applyAlignment="1">
      <alignment vertical="center" wrapText="1"/>
    </xf>
    <xf numFmtId="0" fontId="0" fillId="7" borderId="0" xfId="0" applyFont="1" applyFill="1" applyBorder="1" applyAlignment="1">
      <alignment vertical="top" wrapText="1"/>
    </xf>
    <xf numFmtId="0" fontId="16" fillId="8" borderId="12" xfId="0" applyFont="1" applyFill="1" applyBorder="1"/>
    <xf numFmtId="0" fontId="0" fillId="5" borderId="3" xfId="0" applyFill="1" applyBorder="1"/>
    <xf numFmtId="0" fontId="0" fillId="5" borderId="0" xfId="0" applyFill="1"/>
    <xf numFmtId="0" fontId="2" fillId="3" borderId="18" xfId="0" applyFont="1" applyFill="1" applyBorder="1" applyAlignment="1">
      <alignment horizontal="left" vertical="center"/>
    </xf>
    <xf numFmtId="0" fontId="2" fillId="3" borderId="18" xfId="0" applyFont="1" applyFill="1" applyBorder="1" applyAlignment="1">
      <alignment vertical="center"/>
    </xf>
    <xf numFmtId="0" fontId="2" fillId="3" borderId="18" xfId="0" applyFont="1" applyFill="1" applyBorder="1" applyAlignment="1">
      <alignment vertical="center" wrapText="1"/>
    </xf>
    <xf numFmtId="0" fontId="4" fillId="5" borderId="8" xfId="0" applyFont="1" applyFill="1" applyBorder="1" applyAlignment="1">
      <alignment horizontal="left" vertical="center" wrapText="1"/>
    </xf>
    <xf numFmtId="0" fontId="0" fillId="6" borderId="8" xfId="0" applyFill="1" applyBorder="1" applyAlignment="1">
      <alignment horizontal="center" vertical="center" wrapText="1"/>
    </xf>
    <xf numFmtId="0" fontId="0" fillId="5" borderId="8" xfId="0" applyFill="1" applyBorder="1" applyAlignment="1">
      <alignment horizontal="left" vertical="center"/>
    </xf>
    <xf numFmtId="49" fontId="0" fillId="6" borderId="8" xfId="0" applyNumberFormat="1" applyFill="1" applyBorder="1" applyAlignment="1">
      <alignment horizontal="center" vertical="center" wrapText="1"/>
    </xf>
    <xf numFmtId="49" fontId="0" fillId="5" borderId="19" xfId="0" applyNumberFormat="1" applyFill="1" applyBorder="1" applyAlignment="1">
      <alignment horizontal="center" vertical="center"/>
    </xf>
    <xf numFmtId="0" fontId="0" fillId="5" borderId="19" xfId="0" applyFill="1" applyBorder="1" applyAlignment="1">
      <alignment vertical="center" wrapText="1"/>
    </xf>
    <xf numFmtId="0" fontId="0" fillId="6" borderId="19" xfId="0" applyFill="1" applyBorder="1" applyAlignment="1">
      <alignment horizontal="center" vertical="center"/>
    </xf>
    <xf numFmtId="0" fontId="4" fillId="5" borderId="19" xfId="0" applyFont="1" applyFill="1" applyBorder="1" applyAlignment="1">
      <alignment vertical="center" wrapText="1"/>
    </xf>
    <xf numFmtId="0" fontId="0" fillId="5" borderId="19" xfId="0" applyFill="1" applyBorder="1" applyAlignment="1">
      <alignment horizontal="center" vertical="center"/>
    </xf>
    <xf numFmtId="0" fontId="0" fillId="5" borderId="19" xfId="0" applyFill="1" applyBorder="1" applyAlignment="1">
      <alignment horizontal="center" vertical="center" wrapText="1"/>
    </xf>
    <xf numFmtId="49" fontId="0" fillId="7" borderId="20" xfId="0" applyNumberFormat="1" applyFill="1" applyBorder="1" applyAlignment="1">
      <alignment horizontal="left" vertical="center"/>
    </xf>
    <xf numFmtId="49" fontId="0" fillId="7" borderId="20" xfId="0" applyNumberFormat="1" applyFont="1" applyFill="1" applyBorder="1" applyAlignment="1">
      <alignment horizontal="left" vertical="center"/>
    </xf>
    <xf numFmtId="0" fontId="0" fillId="6" borderId="8" xfId="0" applyFill="1" applyBorder="1" applyAlignment="1">
      <alignment horizontal="center" vertical="center"/>
    </xf>
    <xf numFmtId="0" fontId="0" fillId="5" borderId="8" xfId="0" applyFill="1" applyBorder="1" applyAlignment="1">
      <alignment horizontal="left" vertical="center" wrapText="1"/>
    </xf>
    <xf numFmtId="0" fontId="0" fillId="5" borderId="8" xfId="0" applyFill="1" applyBorder="1" applyAlignment="1">
      <alignment horizontal="center" vertical="center" wrapText="1"/>
    </xf>
    <xf numFmtId="0" fontId="4" fillId="6" borderId="8" xfId="1" applyFont="1" applyFill="1" applyBorder="1" applyAlignment="1">
      <alignment horizontal="center" vertical="center" wrapText="1"/>
    </xf>
    <xf numFmtId="0" fontId="3" fillId="5" borderId="8" xfId="0" applyFont="1" applyFill="1" applyBorder="1" applyAlignment="1">
      <alignment vertical="center" wrapText="1"/>
    </xf>
    <xf numFmtId="0" fontId="12" fillId="5" borderId="8" xfId="0" applyFont="1" applyFill="1" applyBorder="1" applyAlignment="1">
      <alignment horizontal="left" vertical="center" wrapText="1"/>
    </xf>
    <xf numFmtId="0" fontId="13" fillId="0" borderId="8" xfId="0" applyFont="1" applyFill="1" applyBorder="1" applyAlignment="1">
      <alignment vertical="center" wrapText="1"/>
    </xf>
    <xf numFmtId="49" fontId="0" fillId="5" borderId="21" xfId="0" applyNumberFormat="1" applyFill="1" applyBorder="1" applyAlignment="1">
      <alignment horizontal="center" vertical="center"/>
    </xf>
    <xf numFmtId="0" fontId="0" fillId="5" borderId="21" xfId="0" applyFill="1" applyBorder="1" applyAlignment="1">
      <alignment vertical="center"/>
    </xf>
    <xf numFmtId="0" fontId="0" fillId="5" borderId="21" xfId="0" applyFill="1" applyBorder="1" applyAlignment="1">
      <alignment vertical="center" wrapText="1"/>
    </xf>
    <xf numFmtId="49" fontId="0" fillId="7" borderId="0" xfId="0" applyNumberFormat="1" applyFill="1" applyBorder="1" applyAlignment="1">
      <alignment horizontal="left" vertical="center"/>
    </xf>
    <xf numFmtId="49" fontId="0" fillId="7" borderId="0" xfId="0" applyNumberFormat="1" applyFill="1" applyBorder="1" applyAlignment="1">
      <alignment horizontal="left" vertical="center" wrapText="1"/>
    </xf>
    <xf numFmtId="49" fontId="0" fillId="7" borderId="0" xfId="0" applyNumberFormat="1" applyFill="1" applyBorder="1" applyAlignment="1">
      <alignment horizontal="center" vertical="center"/>
    </xf>
    <xf numFmtId="49" fontId="0" fillId="7" borderId="0" xfId="0" applyNumberFormat="1" applyFill="1" applyBorder="1" applyAlignment="1">
      <alignment horizontal="center" vertical="center" wrapText="1"/>
    </xf>
    <xf numFmtId="0" fontId="0" fillId="0" borderId="21" xfId="0" applyBorder="1" applyAlignment="1">
      <alignment horizontal="center"/>
    </xf>
    <xf numFmtId="49" fontId="0" fillId="5" borderId="22" xfId="0" applyNumberFormat="1" applyFill="1" applyBorder="1" applyAlignment="1">
      <alignment horizontal="center" vertical="center"/>
    </xf>
    <xf numFmtId="0" fontId="0" fillId="5" borderId="22" xfId="0" applyFill="1" applyBorder="1" applyAlignment="1">
      <alignment vertical="center"/>
    </xf>
    <xf numFmtId="0" fontId="0" fillId="5" borderId="22" xfId="0" applyFill="1" applyBorder="1" applyAlignment="1">
      <alignment vertical="center" wrapText="1"/>
    </xf>
    <xf numFmtId="0" fontId="5" fillId="0" borderId="22" xfId="2" applyBorder="1" applyAlignment="1">
      <alignment horizontal="center" wrapText="1"/>
    </xf>
    <xf numFmtId="0" fontId="0" fillId="7" borderId="0" xfId="0" applyFill="1" applyAlignment="1">
      <alignment vertical="top"/>
    </xf>
    <xf numFmtId="14" fontId="0" fillId="7" borderId="0" xfId="0" applyNumberFormat="1" applyFill="1" applyAlignment="1">
      <alignment horizontal="left" vertical="top"/>
    </xf>
    <xf numFmtId="0" fontId="0" fillId="7" borderId="0" xfId="0" applyFill="1" applyBorder="1" applyAlignment="1">
      <alignment vertical="top"/>
    </xf>
    <xf numFmtId="0" fontId="3" fillId="7" borderId="0" xfId="0" applyFont="1" applyFill="1" applyBorder="1" applyAlignment="1">
      <alignment vertical="top" wrapText="1"/>
    </xf>
    <xf numFmtId="0" fontId="0" fillId="0" borderId="0" xfId="0" applyAlignment="1">
      <alignment vertical="top"/>
    </xf>
    <xf numFmtId="0" fontId="0" fillId="7" borderId="0" xfId="0" applyFont="1" applyFill="1" applyBorder="1" applyAlignment="1">
      <alignment horizontal="left" vertical="center" wrapText="1"/>
    </xf>
    <xf numFmtId="0" fontId="16" fillId="8" borderId="13" xfId="0" applyFont="1" applyFill="1" applyBorder="1" applyAlignment="1">
      <alignment horizontal="left"/>
    </xf>
    <xf numFmtId="0" fontId="16" fillId="8" borderId="14" xfId="0" applyFont="1" applyFill="1" applyBorder="1" applyAlignment="1">
      <alignment horizontal="left"/>
    </xf>
    <xf numFmtId="0" fontId="16" fillId="8" borderId="15" xfId="0" applyFont="1" applyFill="1" applyBorder="1" applyAlignment="1">
      <alignment horizontal="left"/>
    </xf>
    <xf numFmtId="0" fontId="16" fillId="8" borderId="16" xfId="0" applyFont="1" applyFill="1" applyBorder="1" applyAlignment="1">
      <alignment horizontal="center"/>
    </xf>
    <xf numFmtId="0" fontId="16" fillId="8" borderId="17" xfId="0" applyFont="1" applyFill="1" applyBorder="1" applyAlignment="1">
      <alignment horizontal="center"/>
    </xf>
  </cellXfs>
  <cellStyles count="3">
    <cellStyle name="God" xfId="1" builtinId="26"/>
    <cellStyle name="Hyperkobling" xfId="2" builtinId="8"/>
    <cellStyle name="Normal" xfId="0" builtinId="0"/>
  </cellStyles>
  <dxfs count="3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F6699"/>
      <color rgb="FFD2E5E6"/>
      <color rgb="FF606062"/>
      <color rgb="FFC646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35</xdr:row>
          <xdr:rowOff>28575</xdr:rowOff>
        </xdr:from>
        <xdr:to>
          <xdr:col>5</xdr:col>
          <xdr:colOff>0</xdr:colOff>
          <xdr:row>36</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95250</xdr:rowOff>
        </xdr:from>
        <xdr:to>
          <xdr:col>4</xdr:col>
          <xdr:colOff>295275</xdr:colOff>
          <xdr:row>11</xdr:row>
          <xdr:rowOff>476250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Klippet skal testast (Hurtigutfylling)</a:t>
              </a:r>
            </a:p>
          </xdr:txBody>
        </xdr:sp>
        <xdr:clientData fPrintsWithSheet="0"/>
      </xdr:twoCellAnchor>
    </mc:Choice>
    <mc:Fallback/>
  </mc:AlternateContent>
  <xdr:twoCellAnchor editAs="oneCell">
    <xdr:from>
      <xdr:col>3</xdr:col>
      <xdr:colOff>47625</xdr:colOff>
      <xdr:row>1</xdr:row>
      <xdr:rowOff>361950</xdr:rowOff>
    </xdr:from>
    <xdr:to>
      <xdr:col>4</xdr:col>
      <xdr:colOff>666750</xdr:colOff>
      <xdr:row>1</xdr:row>
      <xdr:rowOff>857250</xdr:rowOff>
    </xdr:to>
    <xdr:pic>
      <xdr:nvPicPr>
        <xdr:cNvPr id="4" name="Bilde 3" descr="Difi-logo">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72450"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226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0</xdr:rowOff>
    </xdr:from>
    <xdr:to>
      <xdr:col>0</xdr:col>
      <xdr:colOff>1924050</xdr:colOff>
      <xdr:row>44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669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drawings/drawing1.xml" Type="http://schemas.openxmlformats.org/officeDocument/2006/relationships/drawing"/>
<Relationship Id="rId4" Target="../drawings/vmlDrawing1.vml" Type="http://schemas.openxmlformats.org/officeDocument/2006/relationships/vmlDrawing"/>
<Relationship Id="rId5" Target="../ctrlProps/ctrlProp1.xml" Type="http://schemas.openxmlformats.org/officeDocument/2006/relationships/ctrlProp"/>
<Relationship Id="rId6"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printerSettings/printerSettings4.bin" Type="http://schemas.openxmlformats.org/officeDocument/2006/relationships/printerSettings"/>
<Relationship Id="rId3"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36"/>
  <sheetViews>
    <sheetView showGridLines="0" tabSelected="1" topLeftCell="A4" zoomScaleNormal="100" workbookViewId="0">
      <selection activeCell="D7" sqref="D7"/>
    </sheetView>
  </sheetViews>
  <sheetFormatPr baseColWidth="10" defaultColWidth="11.5703125" defaultRowHeight="15" x14ac:dyDescent="0.25"/>
  <cols>
    <col min="1" max="1" width="6.5703125" style="1" customWidth="1"/>
    <col min="2" max="2" width="53.5703125" style="1" customWidth="1"/>
    <col min="3" max="3" width="61.7109375" style="1" customWidth="1"/>
    <col min="4" max="4" width="19.5703125" style="1" bestFit="1" customWidth="1"/>
    <col min="5" max="5" width="15.5703125" style="1" customWidth="1"/>
    <col min="6" max="16384" width="11.5703125" style="1"/>
  </cols>
  <sheetData>
    <row r="1" spans="1:5" s="72" customFormat="1" ht="30" customHeight="1" x14ac:dyDescent="0.25">
      <c r="A1" s="70" t="s">
        <v>188</v>
      </c>
      <c r="B1" s="71"/>
      <c r="C1" s="71"/>
      <c r="D1" s="71"/>
      <c r="E1" s="71"/>
    </row>
    <row r="2" spans="1:5" s="127" customFormat="1" ht="315" x14ac:dyDescent="0.25">
      <c r="A2" s="125" t="s">
        <v>10</v>
      </c>
      <c r="B2" s="126" t="s">
        <v>27</v>
      </c>
      <c r="C2" s="85" t="s">
        <v>186</v>
      </c>
      <c r="D2" s="123" t="s">
        <v>189</v>
      </c>
      <c r="E2" s="124">
        <v>42900</v>
      </c>
    </row>
    <row r="3" spans="1:5" ht="30" customHeight="1" x14ac:dyDescent="0.25">
      <c r="A3" s="16" t="s">
        <v>4</v>
      </c>
      <c r="B3" s="15"/>
      <c r="C3" s="15"/>
      <c r="D3" s="15"/>
      <c r="E3" s="15"/>
    </row>
    <row r="4" spans="1:5" ht="39" customHeight="1" x14ac:dyDescent="0.25">
      <c r="A4" s="89" t="s">
        <v>171</v>
      </c>
      <c r="B4" s="90" t="s">
        <v>24</v>
      </c>
      <c r="C4" s="90" t="s">
        <v>21</v>
      </c>
      <c r="D4" s="91" t="s">
        <v>9</v>
      </c>
      <c r="E4" s="89" t="s">
        <v>20</v>
      </c>
    </row>
    <row r="5" spans="1:5" ht="30" customHeight="1" x14ac:dyDescent="0.25">
      <c r="A5" s="41" t="s">
        <v>1</v>
      </c>
      <c r="B5" s="46" t="s">
        <v>23</v>
      </c>
      <c r="C5" s="46"/>
      <c r="D5" s="40"/>
      <c r="E5" s="92"/>
    </row>
    <row r="6" spans="1:5" ht="186" customHeight="1" x14ac:dyDescent="0.25">
      <c r="A6" s="41" t="s">
        <v>2</v>
      </c>
      <c r="B6" s="40" t="s">
        <v>93</v>
      </c>
      <c r="C6" s="40" t="s">
        <v>69</v>
      </c>
      <c r="D6" s="40"/>
      <c r="E6" s="92"/>
    </row>
    <row r="7" spans="1:5" ht="45" x14ac:dyDescent="0.25">
      <c r="A7" s="41" t="s">
        <v>18</v>
      </c>
      <c r="B7" s="40" t="s">
        <v>191</v>
      </c>
      <c r="C7" s="40"/>
      <c r="D7" s="93"/>
      <c r="E7" s="94"/>
    </row>
    <row r="8" spans="1:5" ht="30" customHeight="1" x14ac:dyDescent="0.25">
      <c r="A8" s="41" t="s">
        <v>19</v>
      </c>
      <c r="B8" s="46" t="s">
        <v>42</v>
      </c>
      <c r="C8" s="46"/>
      <c r="D8" s="93"/>
      <c r="E8" s="92"/>
    </row>
    <row r="9" spans="1:5" ht="30" customHeight="1" x14ac:dyDescent="0.25">
      <c r="A9" s="41" t="s">
        <v>35</v>
      </c>
      <c r="B9" s="40" t="s">
        <v>43</v>
      </c>
      <c r="C9" s="40" t="s">
        <v>44</v>
      </c>
      <c r="D9" s="95"/>
      <c r="E9" s="92"/>
    </row>
    <row r="10" spans="1:5" ht="30" customHeight="1" x14ac:dyDescent="0.25">
      <c r="A10" s="21" t="s">
        <v>46</v>
      </c>
      <c r="B10" s="15"/>
      <c r="C10" s="15"/>
      <c r="D10" s="38"/>
      <c r="E10" s="39"/>
    </row>
    <row r="11" spans="1:5" ht="39" customHeight="1" x14ac:dyDescent="0.25">
      <c r="A11" s="35" t="s">
        <v>171</v>
      </c>
      <c r="B11" s="36" t="s">
        <v>24</v>
      </c>
      <c r="C11" s="36" t="s">
        <v>21</v>
      </c>
      <c r="D11" s="37" t="s">
        <v>9</v>
      </c>
      <c r="E11" s="35" t="s">
        <v>20</v>
      </c>
    </row>
    <row r="12" spans="1:5" ht="41.25" customHeight="1" x14ac:dyDescent="0.25">
      <c r="A12" s="43" t="s">
        <v>49</v>
      </c>
      <c r="B12" s="20"/>
      <c r="C12" s="20"/>
      <c r="D12" s="44"/>
      <c r="E12" s="45"/>
    </row>
    <row r="13" spans="1:5" ht="90" x14ac:dyDescent="0.25">
      <c r="A13" s="96" t="s">
        <v>3</v>
      </c>
      <c r="B13" s="97" t="s">
        <v>173</v>
      </c>
      <c r="C13" s="97" t="s">
        <v>48</v>
      </c>
      <c r="D13" s="98"/>
      <c r="E13" s="99"/>
    </row>
    <row r="14" spans="1:5" ht="144.6" customHeight="1" x14ac:dyDescent="0.25">
      <c r="A14" s="96" t="s">
        <v>5</v>
      </c>
      <c r="B14" s="97" t="s">
        <v>174</v>
      </c>
      <c r="C14" s="97" t="s">
        <v>120</v>
      </c>
      <c r="D14" s="98"/>
      <c r="E14" s="100"/>
    </row>
    <row r="15" spans="1:5" ht="272.64999999999998" customHeight="1" x14ac:dyDescent="0.25">
      <c r="A15" s="96" t="s">
        <v>34</v>
      </c>
      <c r="B15" s="97" t="s">
        <v>175</v>
      </c>
      <c r="C15" s="97" t="s">
        <v>115</v>
      </c>
      <c r="D15" s="98"/>
      <c r="E15" s="101" t="s">
        <v>56</v>
      </c>
    </row>
    <row r="16" spans="1:5" ht="30" customHeight="1" x14ac:dyDescent="0.25">
      <c r="A16" s="21" t="s">
        <v>172</v>
      </c>
      <c r="B16" s="15"/>
      <c r="C16" s="15"/>
      <c r="D16" s="38"/>
      <c r="E16" s="39"/>
    </row>
    <row r="17" spans="1:5" ht="39" customHeight="1" x14ac:dyDescent="0.25">
      <c r="A17" s="89" t="s">
        <v>171</v>
      </c>
      <c r="B17" s="90" t="s">
        <v>24</v>
      </c>
      <c r="C17" s="90" t="s">
        <v>21</v>
      </c>
      <c r="D17" s="91" t="s">
        <v>9</v>
      </c>
      <c r="E17" s="89" t="s">
        <v>20</v>
      </c>
    </row>
    <row r="18" spans="1:5" s="47" customFormat="1" ht="30" customHeight="1" x14ac:dyDescent="0.25">
      <c r="A18" s="114" t="s">
        <v>53</v>
      </c>
      <c r="B18" s="115"/>
      <c r="C18" s="116"/>
      <c r="D18" s="117"/>
      <c r="E18" s="114"/>
    </row>
    <row r="19" spans="1:5" ht="27.75" customHeight="1" x14ac:dyDescent="0.25">
      <c r="A19" s="119" t="s">
        <v>30</v>
      </c>
      <c r="B19" s="120" t="s">
        <v>50</v>
      </c>
      <c r="C19" s="121" t="s">
        <v>47</v>
      </c>
      <c r="D19" s="122"/>
      <c r="E19" s="120"/>
    </row>
    <row r="20" spans="1:5" ht="30" x14ac:dyDescent="0.25">
      <c r="A20" s="111" t="s">
        <v>31</v>
      </c>
      <c r="B20" s="113" t="s">
        <v>51</v>
      </c>
      <c r="C20" s="113" t="s">
        <v>52</v>
      </c>
      <c r="D20" s="118"/>
      <c r="E20" s="112"/>
    </row>
    <row r="21" spans="1:5" ht="45" x14ac:dyDescent="0.25">
      <c r="A21" s="96" t="s">
        <v>32</v>
      </c>
      <c r="B21" s="97" t="s">
        <v>187</v>
      </c>
      <c r="C21" s="97" t="s">
        <v>122</v>
      </c>
      <c r="D21" s="98"/>
      <c r="E21" s="101" t="s">
        <v>28</v>
      </c>
    </row>
    <row r="22" spans="1:5" ht="150" x14ac:dyDescent="0.25">
      <c r="A22" s="96" t="s">
        <v>33</v>
      </c>
      <c r="B22" s="97" t="s">
        <v>176</v>
      </c>
      <c r="C22" s="97" t="s">
        <v>123</v>
      </c>
      <c r="D22" s="98"/>
      <c r="E22" s="101" t="s">
        <v>29</v>
      </c>
    </row>
    <row r="23" spans="1:5" ht="120" x14ac:dyDescent="0.25">
      <c r="A23" s="96" t="s">
        <v>45</v>
      </c>
      <c r="B23" s="97" t="s">
        <v>177</v>
      </c>
      <c r="C23" s="97" t="s">
        <v>71</v>
      </c>
      <c r="D23" s="98"/>
      <c r="E23" s="101" t="s">
        <v>70</v>
      </c>
    </row>
    <row r="24" spans="1:5" ht="180" x14ac:dyDescent="0.25">
      <c r="A24" s="96" t="s">
        <v>54</v>
      </c>
      <c r="B24" s="97" t="s">
        <v>178</v>
      </c>
      <c r="C24" s="97" t="s">
        <v>118</v>
      </c>
      <c r="D24" s="98"/>
      <c r="E24" s="101" t="s">
        <v>68</v>
      </c>
    </row>
    <row r="25" spans="1:5" ht="130.5" customHeight="1" x14ac:dyDescent="0.25">
      <c r="A25" s="96" t="s">
        <v>55</v>
      </c>
      <c r="B25" s="97" t="s">
        <v>179</v>
      </c>
      <c r="C25" s="97" t="s">
        <v>116</v>
      </c>
      <c r="D25" s="98"/>
      <c r="E25" s="101"/>
    </row>
    <row r="26" spans="1:5" ht="30" customHeight="1" x14ac:dyDescent="0.25">
      <c r="A26" s="102" t="s">
        <v>90</v>
      </c>
      <c r="B26" s="63"/>
      <c r="C26" s="63"/>
      <c r="D26" s="64"/>
      <c r="E26" s="65"/>
    </row>
    <row r="27" spans="1:5" ht="135" x14ac:dyDescent="0.25">
      <c r="A27" s="41" t="s">
        <v>76</v>
      </c>
      <c r="B27" s="40" t="s">
        <v>180</v>
      </c>
      <c r="C27" s="40" t="s">
        <v>121</v>
      </c>
      <c r="D27" s="93"/>
      <c r="E27" s="94"/>
    </row>
    <row r="28" spans="1:5" ht="224.25" customHeight="1" x14ac:dyDescent="0.25">
      <c r="A28" s="41" t="s">
        <v>77</v>
      </c>
      <c r="B28" s="40" t="s">
        <v>181</v>
      </c>
      <c r="C28" s="40" t="s">
        <v>75</v>
      </c>
      <c r="D28" s="104"/>
      <c r="E28" s="105"/>
    </row>
    <row r="29" spans="1:5" ht="165" x14ac:dyDescent="0.25">
      <c r="A29" s="41" t="s">
        <v>78</v>
      </c>
      <c r="B29" s="40" t="s">
        <v>182</v>
      </c>
      <c r="C29" s="40" t="s">
        <v>119</v>
      </c>
      <c r="D29" s="104"/>
      <c r="E29" s="106" t="s">
        <v>96</v>
      </c>
    </row>
    <row r="30" spans="1:5" ht="30" customHeight="1" x14ac:dyDescent="0.25">
      <c r="A30" s="103" t="s">
        <v>74</v>
      </c>
      <c r="B30" s="60"/>
      <c r="C30" s="61"/>
      <c r="D30" s="62"/>
      <c r="E30" s="43"/>
    </row>
    <row r="31" spans="1:5" ht="130.5" customHeight="1" x14ac:dyDescent="0.25">
      <c r="A31" s="41" t="s">
        <v>79</v>
      </c>
      <c r="B31" s="40" t="s">
        <v>183</v>
      </c>
      <c r="C31" s="40" t="s">
        <v>124</v>
      </c>
      <c r="D31" s="107"/>
      <c r="E31" s="94"/>
    </row>
    <row r="32" spans="1:5" ht="130.5" customHeight="1" x14ac:dyDescent="0.25">
      <c r="A32" s="41" t="s">
        <v>82</v>
      </c>
      <c r="B32" s="40" t="s">
        <v>125</v>
      </c>
      <c r="C32" s="108" t="s">
        <v>80</v>
      </c>
      <c r="D32" s="107"/>
      <c r="E32" s="94"/>
    </row>
    <row r="33" spans="1:5" ht="180" x14ac:dyDescent="0.25">
      <c r="A33" s="41" t="s">
        <v>83</v>
      </c>
      <c r="B33" s="40" t="s">
        <v>184</v>
      </c>
      <c r="C33" s="40" t="s">
        <v>75</v>
      </c>
      <c r="D33" s="104"/>
      <c r="E33" s="105"/>
    </row>
    <row r="34" spans="1:5" ht="270" customHeight="1" x14ac:dyDescent="0.25">
      <c r="A34" s="41" t="s">
        <v>91</v>
      </c>
      <c r="B34" s="40" t="s">
        <v>117</v>
      </c>
      <c r="C34" s="40" t="s">
        <v>92</v>
      </c>
      <c r="D34" s="104"/>
      <c r="E34" s="106" t="s">
        <v>96</v>
      </c>
    </row>
    <row r="35" spans="1:5" ht="75" x14ac:dyDescent="0.25">
      <c r="A35" s="41" t="s">
        <v>94</v>
      </c>
      <c r="B35" s="109" t="s">
        <v>185</v>
      </c>
      <c r="C35" s="40" t="s">
        <v>95</v>
      </c>
      <c r="D35" s="110"/>
      <c r="E35" s="92"/>
    </row>
    <row r="36" spans="1:5" ht="30" customHeight="1" x14ac:dyDescent="0.25">
      <c r="A36" s="21" t="s">
        <v>73</v>
      </c>
      <c r="B36" s="15"/>
      <c r="C36" s="15"/>
      <c r="D36" s="38"/>
      <c r="E36" s="39"/>
    </row>
  </sheetData>
  <customSheetViews>
    <customSheetView guid="{A9A16196-6861-4A6C-AAFE-6C81857751A4}" scale="90" showGridLines="0" fitToPage="1" hiddenRows="1" topLeftCell="A23">
      <selection activeCell="D24" sqref="D24"/>
      <pageMargins left="0.11811023622047245" right="0.11811023622047245" top="0.35433070866141736" bottom="0.35433070866141736" header="0.11811023622047245" footer="0.11811023622047245"/>
      <pageSetup paperSize="9" scale="45" fitToHeight="0" orientation="landscape" r:id="rId1"/>
      <headerFooter>
        <oddFooter>&amp;C&amp;8Side &amp;P av &amp;N</oddFooter>
      </headerFooter>
    </customSheetView>
  </customSheetViews>
  <conditionalFormatting sqref="D7">
    <cfRule type="expression" dxfId="34" priority="60">
      <formula>#REF!="Nei"</formula>
    </cfRule>
  </conditionalFormatting>
  <conditionalFormatting sqref="D7">
    <cfRule type="expression" dxfId="33" priority="61">
      <formula>s2.4="Ja"</formula>
    </cfRule>
  </conditionalFormatting>
  <conditionalFormatting sqref="D8:D9">
    <cfRule type="expression" dxfId="32" priority="17">
      <formula>$D$7="nei"</formula>
    </cfRule>
  </conditionalFormatting>
  <conditionalFormatting sqref="D13">
    <cfRule type="expression" dxfId="31" priority="16">
      <formula>$D$7="nei"</formula>
    </cfRule>
  </conditionalFormatting>
  <conditionalFormatting sqref="D14">
    <cfRule type="expression" dxfId="30" priority="15">
      <formula>OR($D$7="nei",$D$13="nei")</formula>
    </cfRule>
  </conditionalFormatting>
  <conditionalFormatting sqref="D15">
    <cfRule type="expression" dxfId="29" priority="14">
      <formula>OR($D$7="nei",$D$13="nei",$D$14="nei")</formula>
    </cfRule>
  </conditionalFormatting>
  <conditionalFormatting sqref="D19:D21">
    <cfRule type="expression" dxfId="28" priority="13">
      <formula>OR($D$7="nei",$D$13="nei",$D$14="nei",$D$15="ja")</formula>
    </cfRule>
  </conditionalFormatting>
  <conditionalFormatting sqref="D22">
    <cfRule type="expression" dxfId="27" priority="12">
      <formula>OR($D$7="nei",$D$13="nei",$D$14="nei",$D$15="ja",$D$21="ja")</formula>
    </cfRule>
  </conditionalFormatting>
  <conditionalFormatting sqref="D23">
    <cfRule type="expression" dxfId="26" priority="11">
      <formula>OR($D$7="nei",$D$13="nei",$D$14="nei",$D$15="ja",$D$22="nei")</formula>
    </cfRule>
  </conditionalFormatting>
  <conditionalFormatting sqref="D24">
    <cfRule type="expression" dxfId="25" priority="10">
      <formula>OR($D$7="nei",$D$13="nei",$D$14="nei",$D$15="ja",$D$22="nei",$D$23="nei")</formula>
    </cfRule>
  </conditionalFormatting>
  <conditionalFormatting sqref="D25">
    <cfRule type="expression" dxfId="24" priority="9">
      <formula>OR($D$7="nei",$D$13="nei",$D$14="nei",$D$15="ja",$D$22="nei",$D$23="nei",$D$24="nei")</formula>
    </cfRule>
  </conditionalFormatting>
  <conditionalFormatting sqref="D27">
    <cfRule type="expression" dxfId="23" priority="7">
      <formula>OR($D$7="nei",$D$13="nei",$D$14="nei",$D$15="ja",$D$25="nei")</formula>
    </cfRule>
  </conditionalFormatting>
  <conditionalFormatting sqref="D29">
    <cfRule type="expression" dxfId="22" priority="6">
      <formula>OR($D$7="nei",$D$13="nei",$D$14="nei",$D$15="ja",$D$25="nei",$D$27="nei",$D$28="nei")</formula>
    </cfRule>
  </conditionalFormatting>
  <conditionalFormatting sqref="D28">
    <cfRule type="expression" dxfId="21" priority="5">
      <formula>OR($D$7="nei",$D$13="nei",$D$14="nei",$D$15="ja",$D$25="nei",$D$27="nei")</formula>
    </cfRule>
  </conditionalFormatting>
  <conditionalFormatting sqref="D31">
    <cfRule type="expression" dxfId="20" priority="4">
      <formula>OR($D$7="nei",$D$13="nei",$D$14="nei",$D$15="ja",$D$25="nei",$D$29="ja")</formula>
    </cfRule>
  </conditionalFormatting>
  <conditionalFormatting sqref="D32:D33">
    <cfRule type="expression" dxfId="19" priority="3">
      <formula>OR($D$7="nei",$D$13="nei",$D$14="nei",$D$15="ja",$D$25="nei",$D$29="ja",$D$31="nei")</formula>
    </cfRule>
  </conditionalFormatting>
  <conditionalFormatting sqref="D34">
    <cfRule type="expression" dxfId="18" priority="2">
      <formula>OR($D$7="nei",$D$13="nei",$D$14="nei",$D$15="ja",$D$25="nei",$D$29="ja",$D$31="nei",$D$33="nei")</formula>
    </cfRule>
  </conditionalFormatting>
  <conditionalFormatting sqref="D35">
    <cfRule type="expression" dxfId="17" priority="1">
      <formula>OR($D$7="nei",$D$13="nei",$D$14="nei",$D$15="ja")</formula>
    </cfRule>
  </conditionalFormatting>
  <dataValidations count="2">
    <dataValidation allowBlank="1" showInputMessage="1" showErrorMessage="1" errorTitle="Spørsmål 2.4" error="Svar Ja eller Nei" sqref="D18 D30 D26"/>
    <dataValidation type="list" allowBlank="1" showInputMessage="1" showErrorMessage="1" errorTitle="Spørsmål 2.7" error="Svar Ja eller Nei" sqref="D18 D30 D26">
      <formula1>"Ja,Nei"</formula1>
    </dataValidation>
  </dataValidations>
  <pageMargins left="0.11811023622047245" right="0.11811023622047245" top="0.35433070866141736" bottom="0.35433070866141736" header="0.11811023622047245" footer="0.11811023622047245"/>
  <pageSetup paperSize="9" scale="64" fitToHeight="0" orientation="landscape" r:id="rId2"/>
  <headerFooter>
    <oddFooter>&amp;C&amp;8Side &amp;P av &amp;N</oddFooter>
  </headerFooter>
  <ignoredErrors>
    <ignoredError sqref="A33" twoDigitTextYear="1"/>
  </ignoredErrors>
  <drawing r:id="rId3"/>
  <legacyDrawing r:id="rId4"/>
  <mc:AlternateContent xmlns:mc="http://schemas.openxmlformats.org/markup-compatibility/2006">
    <mc:Choice Requires="x14">
      <controls>
        <mc:AlternateContent xmlns:mc="http://schemas.openxmlformats.org/markup-compatibility/2006">
          <mc:Choice Requires="x14">
            <control shapeId="2059" r:id="rId5" name="Button 11">
              <controlPr defaultSize="0" print="0" autoFill="0" autoPict="0" macro="[0]!Knapp2_Klikk">
                <anchor moveWithCells="1" sizeWithCells="1">
                  <from>
                    <xdr:col>4</xdr:col>
                    <xdr:colOff>19050</xdr:colOff>
                    <xdr:row>35</xdr:row>
                    <xdr:rowOff>28575</xdr:rowOff>
                  </from>
                  <to>
                    <xdr:col>5</xdr:col>
                    <xdr:colOff>0</xdr:colOff>
                    <xdr:row>36</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ok_klipp">
                <anchor moveWithCells="1" sizeWithCells="1">
                  <from>
                    <xdr:col>3</xdr:col>
                    <xdr:colOff>0</xdr:colOff>
                    <xdr:row>11</xdr:row>
                    <xdr:rowOff>95250</xdr:rowOff>
                  </from>
                  <to>
                    <xdr:col>4</xdr:col>
                    <xdr:colOff>295275</xdr:colOff>
                    <xdr:row>11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D13:D15 D21:D25 D31 D33:D34 D27:D29 D7</xm:sqref>
        </x14:dataValidation>
        <x14:dataValidation type="list" allowBlank="1" showInputMessage="1" showErrorMessage="1">
          <x14:formula1>
            <xm:f>Logikk!$E$11:$E$15</xm:f>
          </x14:formula1>
          <xm:sqref>D32</xm:sqref>
        </x14:dataValidation>
        <x14:dataValidation type="list" allowBlank="1" showInputMessage="1" showErrorMessage="1">
          <x14:formula1>
            <xm:f>Logikk!$B$28:$B$31</xm:f>
          </x14:formula1>
          <xm:sqref>B37:B102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S75"/>
  <sheetViews>
    <sheetView showGridLines="0" zoomScaleNormal="100" workbookViewId="0">
      <selection activeCell="D11" sqref="D11"/>
    </sheetView>
  </sheetViews>
  <sheetFormatPr baseColWidth="10" defaultColWidth="11.5703125" defaultRowHeight="15" outlineLevelRow="1" x14ac:dyDescent="0.25"/>
  <cols>
    <col min="1" max="1" width="15" style="59" customWidth="1"/>
    <col min="2" max="2" width="23.7109375" style="1" customWidth="1"/>
    <col min="3" max="3" width="37.42578125" style="1" customWidth="1"/>
    <col min="4" max="4" width="14.28515625" style="1" customWidth="1"/>
    <col min="5" max="5" width="56.7109375" style="1" customWidth="1"/>
    <col min="6" max="6" width="50.5703125" style="59" customWidth="1"/>
    <col min="7" max="7" width="18" style="1" customWidth="1"/>
    <col min="8" max="12" width="8.5703125" style="50" customWidth="1"/>
    <col min="13" max="16384" width="11.5703125" style="1"/>
  </cols>
  <sheetData>
    <row r="1" spans="1:19" s="72" customFormat="1" ht="30" customHeight="1" x14ac:dyDescent="0.25">
      <c r="A1" s="70" t="str">
        <f>Registering!A1</f>
        <v>1.2.2 a Forhåndsinnspelt video med lyd har teksting</v>
      </c>
      <c r="B1" s="71"/>
      <c r="C1" s="71"/>
      <c r="D1" s="71"/>
      <c r="E1" s="71"/>
      <c r="F1" s="71"/>
      <c r="G1" s="71"/>
      <c r="H1" s="71"/>
      <c r="I1" s="71"/>
      <c r="J1" s="71"/>
      <c r="K1" s="71"/>
      <c r="L1" s="71"/>
      <c r="M1" s="71"/>
      <c r="N1" s="71"/>
      <c r="O1" s="71"/>
      <c r="P1" s="71"/>
      <c r="Q1" s="71"/>
      <c r="R1" s="71"/>
      <c r="S1" s="71"/>
    </row>
    <row r="2" spans="1:19" ht="60" hidden="1" customHeight="1" outlineLevel="1" x14ac:dyDescent="0.25">
      <c r="A2" s="2" t="s">
        <v>10</v>
      </c>
      <c r="B2" s="128" t="str">
        <f>Registering!B2</f>
        <v>1.2.2 Teksting: Det gis tilgang til teksting for alt forhåndsinnspilt lydinnhold i synkroniserte medier, bortsett fra når mediene fungerer som mediealternativer til tekst og er tydelig merket som det.</v>
      </c>
      <c r="C2" s="128"/>
      <c r="D2" s="15"/>
      <c r="E2" s="15"/>
      <c r="F2" s="15"/>
      <c r="G2" s="15"/>
      <c r="H2" s="1"/>
      <c r="I2" s="1"/>
      <c r="J2" s="1"/>
      <c r="K2" s="1"/>
      <c r="L2" s="1"/>
    </row>
    <row r="3" spans="1:19" ht="30" customHeight="1" collapsed="1" x14ac:dyDescent="0.25">
      <c r="A3" s="51" t="s">
        <v>57</v>
      </c>
      <c r="B3" s="15"/>
      <c r="C3" s="15"/>
      <c r="D3" s="15"/>
      <c r="E3" s="15"/>
      <c r="F3" s="39"/>
      <c r="G3" s="15"/>
      <c r="H3" s="52"/>
      <c r="I3" s="52"/>
      <c r="J3" s="52"/>
      <c r="K3" s="52"/>
      <c r="L3" s="52"/>
      <c r="M3" s="15"/>
      <c r="N3" s="39"/>
      <c r="O3" s="15"/>
      <c r="P3" s="52"/>
      <c r="Q3" s="52"/>
      <c r="R3" s="52"/>
      <c r="S3" s="52"/>
    </row>
    <row r="4" spans="1:19" x14ac:dyDescent="0.25">
      <c r="A4" s="53" t="s">
        <v>58</v>
      </c>
      <c r="B4" s="23"/>
      <c r="C4" s="24"/>
      <c r="D4" s="24"/>
      <c r="E4" s="15"/>
      <c r="F4" s="15"/>
      <c r="G4" s="15"/>
      <c r="H4" s="52"/>
      <c r="I4" s="52"/>
      <c r="J4" s="52"/>
      <c r="K4" s="52"/>
      <c r="L4" s="52"/>
      <c r="M4" s="15"/>
      <c r="N4" s="15"/>
      <c r="O4" s="15"/>
      <c r="P4" s="52"/>
      <c r="Q4" s="52"/>
      <c r="R4" s="52"/>
      <c r="S4" s="52"/>
    </row>
    <row r="5" spans="1:19" x14ac:dyDescent="0.25">
      <c r="A5" s="24"/>
      <c r="B5" s="23" t="s">
        <v>59</v>
      </c>
      <c r="C5" s="19"/>
      <c r="D5" s="24"/>
      <c r="E5" s="15"/>
      <c r="F5" s="15"/>
      <c r="G5" s="15"/>
      <c r="H5" s="52"/>
      <c r="I5" s="52"/>
      <c r="J5" s="52"/>
      <c r="K5" s="52"/>
      <c r="L5" s="52"/>
      <c r="M5" s="15"/>
      <c r="N5" s="15"/>
      <c r="O5" s="15"/>
      <c r="P5" s="52"/>
      <c r="Q5" s="52"/>
      <c r="R5" s="52"/>
      <c r="S5" s="52"/>
    </row>
    <row r="6" spans="1:19" x14ac:dyDescent="0.25">
      <c r="A6" s="24"/>
      <c r="B6" s="23" t="s">
        <v>72</v>
      </c>
      <c r="C6" s="19"/>
      <c r="D6" s="24"/>
      <c r="E6" s="15"/>
      <c r="F6" s="15"/>
      <c r="G6" s="15"/>
      <c r="H6" s="52"/>
      <c r="I6" s="52"/>
      <c r="J6" s="52"/>
      <c r="K6" s="52"/>
      <c r="L6" s="52"/>
      <c r="M6" s="15"/>
      <c r="N6" s="15"/>
      <c r="O6" s="15"/>
      <c r="P6" s="52"/>
      <c r="Q6" s="52"/>
      <c r="R6" s="52"/>
      <c r="S6" s="52"/>
    </row>
    <row r="7" spans="1:19" x14ac:dyDescent="0.25">
      <c r="A7" s="24"/>
      <c r="B7" s="23" t="s">
        <v>60</v>
      </c>
      <c r="C7" s="19"/>
      <c r="D7" s="24"/>
      <c r="E7" s="15"/>
      <c r="F7" s="15"/>
      <c r="G7" s="15"/>
      <c r="H7" s="52"/>
      <c r="I7" s="52"/>
      <c r="J7" s="52"/>
      <c r="K7" s="52"/>
      <c r="L7" s="52"/>
      <c r="M7" s="15"/>
      <c r="N7" s="15"/>
      <c r="O7" s="15"/>
      <c r="P7" s="52"/>
      <c r="Q7" s="52"/>
      <c r="R7" s="52"/>
      <c r="S7" s="52"/>
    </row>
    <row r="8" spans="1:19" x14ac:dyDescent="0.25">
      <c r="A8" s="28"/>
      <c r="B8" s="18" t="s">
        <v>61</v>
      </c>
      <c r="C8" s="19"/>
      <c r="D8" s="24"/>
      <c r="E8" s="15"/>
      <c r="F8" s="15"/>
      <c r="G8" s="15"/>
      <c r="H8" s="52"/>
      <c r="I8" s="52"/>
      <c r="J8" s="52"/>
      <c r="K8" s="52"/>
      <c r="L8" s="52"/>
      <c r="M8" s="15"/>
      <c r="N8" s="15"/>
      <c r="O8" s="15"/>
      <c r="P8" s="52"/>
      <c r="Q8" s="52"/>
      <c r="R8" s="52"/>
      <c r="S8" s="52"/>
    </row>
    <row r="9" spans="1:19" ht="30" customHeight="1" collapsed="1" x14ac:dyDescent="0.25">
      <c r="A9" s="51" t="s">
        <v>62</v>
      </c>
      <c r="B9" s="15"/>
      <c r="C9" s="15"/>
      <c r="D9" s="15"/>
      <c r="E9" s="15"/>
      <c r="F9" s="39"/>
      <c r="G9" s="15"/>
      <c r="H9" s="52"/>
      <c r="I9" s="52"/>
      <c r="J9" s="52"/>
      <c r="K9" s="52"/>
      <c r="L9" s="52"/>
      <c r="M9" s="15"/>
      <c r="N9" s="39"/>
      <c r="O9" s="15"/>
      <c r="P9" s="52"/>
      <c r="Q9" s="52"/>
      <c r="R9" s="52"/>
      <c r="S9" s="52"/>
    </row>
    <row r="10" spans="1:19" x14ac:dyDescent="0.25">
      <c r="A10" s="53" t="s">
        <v>63</v>
      </c>
      <c r="B10" s="23"/>
      <c r="C10" s="19"/>
      <c r="D10" s="24"/>
      <c r="E10" s="15"/>
      <c r="F10" s="15"/>
      <c r="G10" s="15"/>
      <c r="H10" s="52"/>
      <c r="I10" s="52"/>
      <c r="J10" s="52"/>
      <c r="K10" s="52"/>
      <c r="L10" s="52"/>
      <c r="M10" s="15"/>
      <c r="N10" s="15"/>
      <c r="O10" s="15"/>
      <c r="P10" s="52"/>
      <c r="Q10" s="52"/>
      <c r="R10" s="52"/>
      <c r="S10" s="52"/>
    </row>
    <row r="11" spans="1:19" x14ac:dyDescent="0.25">
      <c r="A11" s="24"/>
      <c r="B11" s="23" t="s">
        <v>64</v>
      </c>
      <c r="C11" s="19"/>
      <c r="D11" s="24">
        <f>COUNTA(A16:A700)</f>
        <v>0</v>
      </c>
      <c r="E11" s="15"/>
      <c r="F11" s="15"/>
      <c r="G11" s="15"/>
      <c r="H11" s="52"/>
      <c r="I11" s="52"/>
      <c r="J11" s="52"/>
      <c r="K11" s="52"/>
      <c r="L11" s="52"/>
      <c r="M11" s="15"/>
      <c r="N11" s="15"/>
      <c r="O11" s="15"/>
      <c r="P11" s="52"/>
      <c r="Q11" s="52"/>
      <c r="R11" s="52"/>
      <c r="S11" s="52"/>
    </row>
    <row r="12" spans="1:19" x14ac:dyDescent="0.25">
      <c r="A12" s="24"/>
      <c r="B12" s="25" t="s">
        <v>65</v>
      </c>
      <c r="C12" s="19"/>
      <c r="D12" s="24">
        <f>COUNTIF(D16:D700,"NEI")</f>
        <v>0</v>
      </c>
      <c r="E12" s="15"/>
      <c r="F12" s="15"/>
      <c r="G12" s="15"/>
      <c r="H12" s="52"/>
      <c r="I12" s="52"/>
      <c r="J12" s="52"/>
      <c r="K12" s="52"/>
      <c r="L12" s="52"/>
      <c r="M12" s="15"/>
      <c r="N12" s="15"/>
      <c r="O12" s="15"/>
      <c r="P12" s="52"/>
      <c r="Q12" s="52"/>
      <c r="R12" s="52"/>
      <c r="S12" s="52"/>
    </row>
    <row r="13" spans="1:19" x14ac:dyDescent="0.25">
      <c r="A13" s="24"/>
      <c r="B13" s="25" t="s">
        <v>66</v>
      </c>
      <c r="C13" s="19"/>
      <c r="D13" s="24">
        <f>COUNTIF(D17:D700,"Ja")</f>
        <v>0</v>
      </c>
      <c r="E13" s="15"/>
      <c r="F13" s="15"/>
      <c r="G13" s="15"/>
      <c r="H13" s="52"/>
      <c r="I13" s="52"/>
      <c r="J13" s="52"/>
      <c r="K13" s="52"/>
      <c r="L13" s="52"/>
      <c r="M13" s="15"/>
      <c r="N13" s="15"/>
      <c r="O13" s="15"/>
      <c r="P13" s="52"/>
      <c r="Q13" s="52"/>
      <c r="R13" s="52"/>
      <c r="S13" s="52"/>
    </row>
    <row r="14" spans="1:19" ht="30" customHeight="1" collapsed="1" x14ac:dyDescent="0.25">
      <c r="A14" s="51" t="s">
        <v>67</v>
      </c>
      <c r="B14" s="15"/>
      <c r="C14" s="15"/>
      <c r="D14" s="15"/>
      <c r="E14" s="15"/>
      <c r="F14" s="39"/>
      <c r="G14" s="15"/>
      <c r="H14" s="52"/>
      <c r="I14" s="52"/>
      <c r="J14" s="52"/>
      <c r="K14" s="52"/>
      <c r="L14" s="52"/>
      <c r="M14" s="15"/>
      <c r="N14" s="39"/>
      <c r="O14" s="15"/>
      <c r="P14" s="52"/>
      <c r="Q14" s="52"/>
      <c r="R14" s="52"/>
      <c r="S14" s="52"/>
    </row>
    <row r="15" spans="1:19" ht="39" customHeight="1" x14ac:dyDescent="0.25">
      <c r="A15" s="42" t="s">
        <v>0</v>
      </c>
      <c r="B15" s="17" t="s">
        <v>22</v>
      </c>
      <c r="C15" s="17" t="s">
        <v>25</v>
      </c>
      <c r="D15" s="48" t="s">
        <v>8</v>
      </c>
      <c r="E15" s="17" t="s">
        <v>190</v>
      </c>
      <c r="F15" s="17" t="s">
        <v>6</v>
      </c>
      <c r="G15" s="42" t="s">
        <v>11</v>
      </c>
      <c r="H15" s="49" t="s">
        <v>32</v>
      </c>
      <c r="I15" s="49" t="s">
        <v>33</v>
      </c>
      <c r="J15" s="49" t="s">
        <v>45</v>
      </c>
      <c r="K15" s="49" t="s">
        <v>54</v>
      </c>
      <c r="L15" s="49" t="s">
        <v>55</v>
      </c>
      <c r="M15" s="49" t="s">
        <v>76</v>
      </c>
      <c r="N15" s="49" t="s">
        <v>77</v>
      </c>
      <c r="O15" s="49" t="s">
        <v>78</v>
      </c>
      <c r="P15" s="49" t="s">
        <v>79</v>
      </c>
      <c r="Q15" s="49" t="s">
        <v>82</v>
      </c>
      <c r="R15" s="49" t="s">
        <v>83</v>
      </c>
      <c r="S15" s="49" t="s">
        <v>91</v>
      </c>
    </row>
    <row r="16" spans="1:19" x14ac:dyDescent="0.25">
      <c r="A16" s="54"/>
      <c r="B16" s="22"/>
      <c r="C16" s="26"/>
      <c r="D16" s="27"/>
      <c r="E16" s="22"/>
      <c r="F16" s="56"/>
      <c r="G16" s="66"/>
      <c r="H16" s="27"/>
      <c r="I16" s="27"/>
      <c r="J16" s="57"/>
      <c r="K16" s="27"/>
      <c r="L16" s="27"/>
      <c r="M16" s="27"/>
      <c r="N16" s="27"/>
      <c r="O16" s="27"/>
      <c r="P16" s="27"/>
      <c r="Q16" s="27"/>
      <c r="R16" s="27"/>
      <c r="S16" s="27"/>
    </row>
    <row r="17" spans="1:19" x14ac:dyDescent="0.25">
      <c r="A17" s="54"/>
      <c r="B17" s="22"/>
      <c r="C17" s="26"/>
      <c r="D17" s="27"/>
      <c r="E17" s="22"/>
      <c r="F17" s="56"/>
      <c r="G17" s="66"/>
      <c r="H17" s="27"/>
      <c r="I17" s="27"/>
      <c r="J17" s="57"/>
      <c r="K17" s="27"/>
      <c r="L17" s="27"/>
      <c r="M17" s="27"/>
      <c r="N17" s="27"/>
      <c r="O17" s="27"/>
      <c r="P17" s="27"/>
      <c r="Q17" s="27"/>
      <c r="R17" s="27"/>
      <c r="S17" s="27"/>
    </row>
    <row r="18" spans="1:19" x14ac:dyDescent="0.25">
      <c r="A18" s="54"/>
      <c r="B18" s="22"/>
      <c r="C18" s="26"/>
      <c r="D18" s="27"/>
      <c r="E18" s="22"/>
      <c r="F18" s="56"/>
      <c r="G18" s="66"/>
      <c r="H18" s="27"/>
      <c r="I18" s="27"/>
      <c r="J18" s="57"/>
      <c r="K18" s="27"/>
      <c r="L18" s="27"/>
      <c r="M18" s="27"/>
      <c r="N18" s="27"/>
      <c r="O18" s="27"/>
      <c r="P18" s="27"/>
      <c r="Q18" s="27"/>
      <c r="R18" s="27"/>
      <c r="S18" s="27"/>
    </row>
    <row r="19" spans="1:19" x14ac:dyDescent="0.25">
      <c r="A19" s="54"/>
      <c r="B19" s="22"/>
      <c r="C19" s="26"/>
      <c r="D19" s="27"/>
      <c r="E19" s="22"/>
      <c r="F19" s="56"/>
      <c r="G19" s="66"/>
      <c r="H19" s="27"/>
      <c r="I19" s="27"/>
      <c r="J19" s="57"/>
      <c r="K19" s="27"/>
      <c r="L19" s="27"/>
      <c r="M19" s="27"/>
      <c r="N19" s="27"/>
      <c r="O19" s="27"/>
      <c r="P19" s="27"/>
      <c r="Q19" s="27"/>
      <c r="R19" s="27"/>
      <c r="S19" s="27"/>
    </row>
    <row r="20" spans="1:19" x14ac:dyDescent="0.25">
      <c r="A20" s="54"/>
      <c r="B20" s="22"/>
      <c r="C20" s="26"/>
      <c r="D20" s="27"/>
      <c r="E20" s="22"/>
      <c r="F20" s="56"/>
      <c r="G20" s="75"/>
      <c r="H20" s="27"/>
      <c r="I20" s="27"/>
      <c r="J20" s="57"/>
      <c r="K20" s="27"/>
      <c r="L20" s="27"/>
      <c r="M20" s="27"/>
      <c r="N20" s="27"/>
      <c r="O20" s="27"/>
      <c r="P20" s="27"/>
      <c r="Q20" s="27"/>
      <c r="R20" s="27"/>
      <c r="S20" s="27"/>
    </row>
    <row r="21" spans="1:19" x14ac:dyDescent="0.25">
      <c r="A21" s="55"/>
      <c r="B21" s="22"/>
      <c r="C21" s="26"/>
      <c r="D21" s="27"/>
      <c r="E21" s="22"/>
      <c r="F21" s="56"/>
      <c r="G21" s="75"/>
      <c r="H21" s="27"/>
      <c r="I21" s="27"/>
      <c r="J21" s="57"/>
      <c r="K21" s="27"/>
      <c r="L21" s="27"/>
      <c r="M21" s="27"/>
      <c r="N21" s="27"/>
      <c r="O21" s="27"/>
      <c r="P21" s="27"/>
      <c r="Q21" s="27"/>
      <c r="R21" s="27"/>
      <c r="S21" s="27"/>
    </row>
    <row r="22" spans="1:19" x14ac:dyDescent="0.25">
      <c r="A22" s="55"/>
      <c r="B22" s="22"/>
      <c r="C22" s="26"/>
      <c r="D22" s="27"/>
      <c r="E22" s="22"/>
      <c r="F22" s="56"/>
      <c r="G22" s="75"/>
      <c r="H22" s="27"/>
      <c r="I22" s="27"/>
      <c r="J22" s="57"/>
      <c r="K22" s="27"/>
      <c r="L22" s="27"/>
      <c r="M22" s="27"/>
      <c r="N22" s="27"/>
      <c r="O22" s="27"/>
      <c r="P22" s="27"/>
      <c r="Q22" s="27"/>
      <c r="R22" s="27"/>
      <c r="S22" s="27"/>
    </row>
    <row r="23" spans="1:19" x14ac:dyDescent="0.25">
      <c r="A23" s="55"/>
      <c r="B23" s="22"/>
      <c r="C23" s="26"/>
      <c r="D23" s="27"/>
      <c r="E23" s="22"/>
      <c r="F23" s="56"/>
      <c r="G23" s="75"/>
      <c r="H23" s="27"/>
      <c r="I23" s="27"/>
      <c r="J23" s="57"/>
      <c r="K23" s="27"/>
      <c r="L23" s="27"/>
      <c r="M23" s="27"/>
      <c r="N23" s="27"/>
      <c r="O23" s="27"/>
      <c r="P23" s="27"/>
      <c r="Q23" s="27"/>
      <c r="R23" s="27"/>
      <c r="S23" s="27"/>
    </row>
    <row r="24" spans="1:19" x14ac:dyDescent="0.25">
      <c r="A24" s="55"/>
      <c r="B24" s="22"/>
      <c r="C24" s="26"/>
      <c r="D24" s="27"/>
      <c r="E24" s="22"/>
      <c r="F24" s="56"/>
      <c r="G24" s="75"/>
      <c r="H24" s="27"/>
      <c r="I24" s="27"/>
      <c r="J24" s="57"/>
      <c r="K24" s="27"/>
      <c r="L24" s="27"/>
      <c r="M24" s="27"/>
      <c r="N24" s="27"/>
      <c r="O24" s="27"/>
      <c r="P24" s="27"/>
      <c r="Q24" s="27"/>
      <c r="R24" s="27"/>
      <c r="S24" s="27"/>
    </row>
    <row r="25" spans="1:19" x14ac:dyDescent="0.25">
      <c r="A25" s="55"/>
      <c r="B25" s="22"/>
      <c r="C25" s="26"/>
      <c r="D25" s="27"/>
      <c r="E25" s="22"/>
      <c r="F25" s="56"/>
      <c r="G25" s="75"/>
      <c r="H25" s="27"/>
      <c r="I25" s="27"/>
      <c r="J25" s="57"/>
      <c r="K25" s="27"/>
      <c r="L25" s="27"/>
      <c r="M25" s="27"/>
      <c r="N25" s="27"/>
      <c r="O25" s="27"/>
      <c r="P25" s="27"/>
      <c r="Q25" s="27"/>
      <c r="R25" s="27"/>
      <c r="S25" s="27"/>
    </row>
    <row r="26" spans="1:19" x14ac:dyDescent="0.25">
      <c r="A26" s="55"/>
      <c r="B26" s="22"/>
      <c r="C26" s="26"/>
      <c r="D26" s="27"/>
      <c r="E26" s="22"/>
      <c r="F26" s="58"/>
      <c r="G26" s="75"/>
      <c r="H26" s="27"/>
      <c r="I26" s="27"/>
      <c r="J26" s="57"/>
      <c r="K26" s="27"/>
      <c r="L26" s="27"/>
      <c r="M26" s="27"/>
      <c r="N26" s="27"/>
      <c r="O26" s="27"/>
      <c r="P26" s="27"/>
      <c r="Q26" s="27"/>
      <c r="R26" s="27"/>
      <c r="S26" s="27"/>
    </row>
    <row r="27" spans="1:19" x14ac:dyDescent="0.25">
      <c r="A27" s="55"/>
      <c r="B27" s="22"/>
      <c r="C27" s="26"/>
      <c r="D27" s="27"/>
      <c r="E27" s="22"/>
      <c r="F27" s="58"/>
      <c r="G27" s="75"/>
      <c r="H27" s="27"/>
      <c r="I27" s="27"/>
      <c r="J27" s="57"/>
      <c r="K27" s="27"/>
      <c r="L27" s="27"/>
      <c r="M27" s="27"/>
      <c r="N27" s="27"/>
      <c r="O27" s="27"/>
      <c r="P27" s="27"/>
      <c r="Q27" s="27"/>
      <c r="R27" s="27"/>
      <c r="S27" s="27"/>
    </row>
    <row r="28" spans="1:19" x14ac:dyDescent="0.25">
      <c r="A28" s="55"/>
      <c r="B28" s="22"/>
      <c r="C28" s="26"/>
      <c r="D28" s="27"/>
      <c r="E28" s="22"/>
      <c r="F28" s="58"/>
      <c r="G28" s="75"/>
      <c r="H28" s="27"/>
      <c r="I28" s="27"/>
      <c r="J28" s="57"/>
      <c r="K28" s="27"/>
      <c r="L28" s="27"/>
      <c r="M28" s="27"/>
      <c r="N28" s="27"/>
      <c r="O28" s="27"/>
      <c r="P28" s="27"/>
      <c r="Q28" s="27"/>
      <c r="R28" s="27"/>
      <c r="S28" s="27"/>
    </row>
    <row r="29" spans="1:19" x14ac:dyDescent="0.25">
      <c r="A29" s="55"/>
      <c r="B29" s="22"/>
      <c r="C29" s="26"/>
      <c r="D29" s="27"/>
      <c r="E29" s="22"/>
      <c r="F29" s="58"/>
      <c r="G29" s="75"/>
      <c r="H29" s="27"/>
      <c r="I29" s="27"/>
      <c r="J29" s="57"/>
      <c r="K29" s="27"/>
      <c r="L29" s="27"/>
      <c r="M29" s="27"/>
      <c r="N29" s="27"/>
      <c r="O29" s="27"/>
      <c r="P29" s="27"/>
      <c r="Q29" s="27"/>
      <c r="R29" s="27"/>
      <c r="S29" s="27"/>
    </row>
    <row r="30" spans="1:19" x14ac:dyDescent="0.25">
      <c r="A30" s="55"/>
      <c r="B30" s="22"/>
      <c r="C30" s="26"/>
      <c r="D30" s="27"/>
      <c r="E30" s="22"/>
      <c r="F30" s="58"/>
      <c r="G30" s="75"/>
      <c r="H30" s="27"/>
      <c r="I30" s="27"/>
      <c r="J30" s="57"/>
      <c r="K30" s="27"/>
      <c r="L30" s="27"/>
      <c r="M30" s="27"/>
      <c r="N30" s="27"/>
      <c r="O30" s="27"/>
      <c r="P30" s="27"/>
      <c r="Q30" s="27"/>
      <c r="R30" s="27"/>
      <c r="S30" s="27"/>
    </row>
    <row r="31" spans="1:19" x14ac:dyDescent="0.25">
      <c r="A31" s="55"/>
      <c r="B31" s="22"/>
      <c r="C31" s="26"/>
      <c r="D31" s="27"/>
      <c r="E31" s="22"/>
      <c r="F31" s="58"/>
      <c r="G31" s="75"/>
      <c r="H31" s="27"/>
      <c r="I31" s="27"/>
      <c r="J31" s="57"/>
      <c r="K31" s="27"/>
      <c r="L31" s="27"/>
      <c r="M31" s="27"/>
      <c r="N31" s="27"/>
      <c r="O31" s="27"/>
      <c r="P31" s="27"/>
      <c r="Q31" s="27"/>
      <c r="R31" s="27"/>
      <c r="S31" s="27"/>
    </row>
    <row r="32" spans="1:19" x14ac:dyDescent="0.25">
      <c r="A32" s="55"/>
      <c r="B32" s="22"/>
      <c r="C32" s="26"/>
      <c r="D32" s="27"/>
      <c r="E32" s="22"/>
      <c r="F32" s="58"/>
      <c r="G32" s="75"/>
      <c r="H32" s="27"/>
      <c r="I32" s="27"/>
      <c r="J32" s="57"/>
      <c r="K32" s="27"/>
      <c r="L32" s="27"/>
      <c r="M32" s="27"/>
      <c r="N32" s="27"/>
      <c r="O32" s="27"/>
      <c r="P32" s="27"/>
      <c r="Q32" s="27"/>
      <c r="R32" s="27"/>
      <c r="S32" s="27"/>
    </row>
    <row r="33" spans="1:19" x14ac:dyDescent="0.25">
      <c r="A33" s="55"/>
      <c r="B33" s="22"/>
      <c r="C33" s="26"/>
      <c r="D33" s="27"/>
      <c r="E33" s="22"/>
      <c r="F33" s="58"/>
      <c r="G33" s="75"/>
      <c r="H33" s="27"/>
      <c r="I33" s="27"/>
      <c r="J33" s="57"/>
      <c r="K33" s="27"/>
      <c r="L33" s="27"/>
      <c r="M33" s="27"/>
      <c r="N33" s="27"/>
      <c r="O33" s="27"/>
      <c r="P33" s="27"/>
      <c r="Q33" s="27"/>
      <c r="R33" s="27"/>
      <c r="S33" s="27"/>
    </row>
    <row r="34" spans="1:19" x14ac:dyDescent="0.25">
      <c r="A34" s="55"/>
      <c r="B34" s="22"/>
      <c r="C34" s="26"/>
      <c r="D34" s="27"/>
      <c r="E34" s="22"/>
      <c r="F34" s="58"/>
      <c r="G34" s="75"/>
      <c r="H34" s="27"/>
      <c r="I34" s="27"/>
      <c r="J34" s="57"/>
      <c r="K34" s="27"/>
      <c r="L34" s="27"/>
      <c r="M34" s="27"/>
      <c r="N34" s="27"/>
      <c r="O34" s="27"/>
      <c r="P34" s="27"/>
      <c r="Q34" s="27"/>
      <c r="R34" s="27"/>
      <c r="S34" s="27"/>
    </row>
    <row r="35" spans="1:19" x14ac:dyDescent="0.25">
      <c r="A35" s="55"/>
      <c r="B35" s="22"/>
      <c r="C35" s="26"/>
      <c r="D35" s="27"/>
      <c r="E35" s="22"/>
      <c r="F35" s="58"/>
      <c r="G35" s="75"/>
      <c r="H35" s="27"/>
      <c r="I35" s="27"/>
      <c r="J35" s="57"/>
      <c r="K35" s="27"/>
      <c r="L35" s="27"/>
      <c r="M35" s="27"/>
      <c r="N35" s="27"/>
      <c r="O35" s="27"/>
      <c r="P35" s="27"/>
      <c r="Q35" s="27"/>
      <c r="R35" s="27"/>
      <c r="S35" s="27"/>
    </row>
    <row r="36" spans="1:19" x14ac:dyDescent="0.25">
      <c r="A36" s="55"/>
      <c r="B36" s="22"/>
      <c r="C36" s="26"/>
      <c r="D36" s="27"/>
      <c r="E36" s="22"/>
      <c r="F36" s="58"/>
      <c r="G36" s="75"/>
      <c r="H36" s="27"/>
      <c r="I36" s="27"/>
      <c r="J36" s="57"/>
      <c r="K36" s="27"/>
      <c r="L36" s="27"/>
      <c r="M36" s="27"/>
      <c r="N36" s="27"/>
      <c r="O36" s="27"/>
      <c r="P36" s="27"/>
      <c r="Q36" s="27"/>
      <c r="R36" s="27"/>
      <c r="S36" s="27"/>
    </row>
    <row r="37" spans="1:19" x14ac:dyDescent="0.25">
      <c r="A37" s="55"/>
      <c r="B37" s="22"/>
      <c r="C37" s="26"/>
      <c r="D37" s="27"/>
      <c r="E37" s="22"/>
      <c r="F37" s="58"/>
      <c r="G37" s="75"/>
      <c r="H37" s="27"/>
      <c r="I37" s="27"/>
      <c r="J37" s="57"/>
      <c r="K37" s="27"/>
      <c r="L37" s="27"/>
      <c r="M37" s="27"/>
      <c r="N37" s="27"/>
      <c r="O37" s="27"/>
      <c r="P37" s="27"/>
      <c r="Q37" s="27"/>
      <c r="R37" s="27"/>
      <c r="S37" s="27"/>
    </row>
    <row r="38" spans="1:19" x14ac:dyDescent="0.25">
      <c r="A38" s="55"/>
      <c r="B38" s="22"/>
      <c r="C38" s="26"/>
      <c r="D38" s="27"/>
      <c r="E38" s="22"/>
      <c r="F38" s="58"/>
      <c r="G38" s="75"/>
      <c r="H38" s="27"/>
      <c r="I38" s="27"/>
      <c r="J38" s="57"/>
      <c r="K38" s="27"/>
      <c r="L38" s="27"/>
      <c r="M38" s="27"/>
      <c r="N38" s="27"/>
      <c r="O38" s="27"/>
      <c r="P38" s="27"/>
      <c r="Q38" s="27"/>
      <c r="R38" s="27"/>
      <c r="S38" s="27"/>
    </row>
    <row r="39" spans="1:19" x14ac:dyDescent="0.25">
      <c r="A39" s="55"/>
      <c r="B39" s="22"/>
      <c r="C39" s="26"/>
      <c r="D39" s="27"/>
      <c r="E39" s="22"/>
      <c r="F39" s="58"/>
      <c r="G39" s="75"/>
      <c r="H39" s="27"/>
      <c r="I39" s="27"/>
      <c r="J39" s="57"/>
      <c r="K39" s="27"/>
      <c r="L39" s="27"/>
      <c r="M39" s="27"/>
      <c r="N39" s="27"/>
      <c r="O39" s="27"/>
      <c r="P39" s="27"/>
      <c r="Q39" s="27"/>
      <c r="R39" s="27"/>
      <c r="S39" s="27"/>
    </row>
    <row r="40" spans="1:19" x14ac:dyDescent="0.25">
      <c r="A40" s="55"/>
      <c r="B40" s="22"/>
      <c r="C40" s="26"/>
      <c r="D40" s="27"/>
      <c r="E40" s="22"/>
      <c r="F40" s="58"/>
      <c r="G40" s="75"/>
      <c r="H40" s="27"/>
      <c r="I40" s="27"/>
      <c r="J40" s="57"/>
      <c r="K40" s="27"/>
      <c r="L40" s="27"/>
      <c r="M40" s="27"/>
      <c r="N40" s="27"/>
      <c r="O40" s="27"/>
      <c r="P40" s="27"/>
      <c r="Q40" s="27"/>
      <c r="R40" s="27"/>
      <c r="S40" s="27"/>
    </row>
    <row r="41" spans="1:19" x14ac:dyDescent="0.25">
      <c r="A41" s="55"/>
      <c r="B41" s="22"/>
      <c r="C41" s="26"/>
      <c r="D41" s="27"/>
      <c r="E41" s="22"/>
      <c r="F41" s="58"/>
      <c r="G41" s="75"/>
      <c r="H41" s="27"/>
      <c r="I41" s="27"/>
      <c r="J41" s="57"/>
      <c r="K41" s="27"/>
      <c r="L41" s="27"/>
      <c r="M41" s="27"/>
      <c r="N41" s="27"/>
      <c r="O41" s="27"/>
      <c r="P41" s="27"/>
      <c r="Q41" s="27"/>
      <c r="R41" s="27"/>
      <c r="S41" s="27"/>
    </row>
    <row r="42" spans="1:19" x14ac:dyDescent="0.25">
      <c r="A42" s="55"/>
      <c r="B42" s="22"/>
      <c r="C42" s="26"/>
      <c r="D42" s="27"/>
      <c r="E42" s="22"/>
      <c r="F42" s="58"/>
      <c r="G42" s="75"/>
      <c r="H42" s="27"/>
      <c r="I42" s="27"/>
      <c r="J42" s="57"/>
      <c r="K42" s="27"/>
      <c r="L42" s="27"/>
      <c r="M42" s="27"/>
      <c r="N42" s="27"/>
      <c r="O42" s="27"/>
      <c r="P42" s="27"/>
      <c r="Q42" s="27"/>
      <c r="R42" s="27"/>
      <c r="S42" s="27"/>
    </row>
    <row r="43" spans="1:19" x14ac:dyDescent="0.25">
      <c r="A43" s="55"/>
      <c r="B43" s="22"/>
      <c r="C43" s="26"/>
      <c r="D43" s="27"/>
      <c r="E43" s="22"/>
      <c r="F43" s="58"/>
      <c r="G43" s="75"/>
      <c r="H43" s="27"/>
      <c r="I43" s="27"/>
      <c r="J43" s="57"/>
      <c r="K43" s="27"/>
      <c r="L43" s="27"/>
      <c r="M43" s="27"/>
      <c r="N43" s="27"/>
      <c r="O43" s="27"/>
      <c r="P43" s="27"/>
      <c r="Q43" s="27"/>
      <c r="R43" s="27"/>
      <c r="S43" s="27"/>
    </row>
    <row r="44" spans="1:19" x14ac:dyDescent="0.25">
      <c r="A44" s="55"/>
      <c r="B44" s="22"/>
      <c r="C44" s="26"/>
      <c r="D44" s="27"/>
      <c r="E44" s="22"/>
      <c r="F44" s="58"/>
      <c r="G44" s="75"/>
      <c r="H44" s="27"/>
      <c r="I44" s="27"/>
      <c r="J44" s="57"/>
      <c r="K44" s="27"/>
      <c r="L44" s="27"/>
      <c r="M44" s="27"/>
      <c r="N44" s="27"/>
      <c r="O44" s="27"/>
      <c r="P44" s="27"/>
      <c r="Q44" s="27"/>
      <c r="R44" s="27"/>
      <c r="S44" s="27"/>
    </row>
    <row r="45" spans="1:19" x14ac:dyDescent="0.25">
      <c r="A45" s="55"/>
      <c r="B45" s="22"/>
      <c r="C45" s="26"/>
      <c r="D45" s="27"/>
      <c r="E45" s="22"/>
      <c r="F45" s="58"/>
      <c r="G45" s="75"/>
      <c r="H45" s="27"/>
      <c r="I45" s="27"/>
      <c r="J45" s="57"/>
      <c r="K45" s="27"/>
      <c r="L45" s="27"/>
      <c r="M45" s="27"/>
      <c r="N45" s="27"/>
      <c r="O45" s="27"/>
      <c r="P45" s="27"/>
      <c r="Q45" s="27"/>
      <c r="R45" s="27"/>
      <c r="S45" s="27"/>
    </row>
    <row r="46" spans="1:19" x14ac:dyDescent="0.25">
      <c r="A46" s="55"/>
      <c r="B46" s="22"/>
      <c r="C46" s="26"/>
      <c r="D46" s="27"/>
      <c r="E46" s="22"/>
      <c r="F46" s="58"/>
      <c r="G46" s="75"/>
      <c r="H46" s="27"/>
      <c r="I46" s="27"/>
      <c r="J46" s="57"/>
      <c r="K46" s="27"/>
      <c r="L46" s="27"/>
      <c r="M46" s="27"/>
      <c r="N46" s="27"/>
      <c r="O46" s="27"/>
      <c r="P46" s="27"/>
      <c r="Q46" s="27"/>
      <c r="R46" s="27"/>
      <c r="S46" s="27"/>
    </row>
    <row r="47" spans="1:19" x14ac:dyDescent="0.25">
      <c r="A47" s="55"/>
      <c r="B47" s="22"/>
      <c r="C47" s="26"/>
      <c r="D47" s="27"/>
      <c r="E47" s="22"/>
      <c r="F47" s="58"/>
      <c r="G47" s="75"/>
      <c r="H47" s="27"/>
      <c r="I47" s="27"/>
      <c r="J47" s="57"/>
      <c r="K47" s="27"/>
      <c r="L47" s="27"/>
      <c r="M47" s="27"/>
      <c r="N47" s="27"/>
      <c r="O47" s="27"/>
      <c r="P47" s="27"/>
      <c r="Q47" s="27"/>
      <c r="R47" s="27"/>
      <c r="S47" s="27"/>
    </row>
    <row r="48" spans="1:19" x14ac:dyDescent="0.25">
      <c r="A48" s="55"/>
      <c r="B48" s="22"/>
      <c r="C48" s="26"/>
      <c r="D48" s="27"/>
      <c r="E48" s="22"/>
      <c r="F48" s="58"/>
      <c r="G48" s="75"/>
      <c r="H48" s="27"/>
      <c r="I48" s="27"/>
      <c r="J48" s="57"/>
      <c r="K48" s="27"/>
      <c r="L48" s="27"/>
      <c r="M48" s="27"/>
      <c r="N48" s="27"/>
      <c r="O48" s="27"/>
      <c r="P48" s="27"/>
      <c r="Q48" s="27"/>
      <c r="R48" s="27"/>
      <c r="S48" s="27"/>
    </row>
    <row r="49" spans="1:19" x14ac:dyDescent="0.25">
      <c r="A49" s="55"/>
      <c r="B49" s="22"/>
      <c r="C49" s="26"/>
      <c r="D49" s="27"/>
      <c r="E49" s="22"/>
      <c r="F49" s="58"/>
      <c r="G49" s="75"/>
      <c r="H49" s="27"/>
      <c r="I49" s="27"/>
      <c r="J49" s="57"/>
      <c r="K49" s="27"/>
      <c r="L49" s="27"/>
      <c r="M49" s="27"/>
      <c r="N49" s="27"/>
      <c r="O49" s="27"/>
      <c r="P49" s="27"/>
      <c r="Q49" s="27"/>
      <c r="R49" s="27"/>
      <c r="S49" s="27"/>
    </row>
    <row r="50" spans="1:19" x14ac:dyDescent="0.25">
      <c r="A50" s="55"/>
      <c r="B50" s="22"/>
      <c r="C50" s="26"/>
      <c r="D50" s="27"/>
      <c r="E50" s="22"/>
      <c r="F50" s="58"/>
      <c r="G50" s="75"/>
      <c r="H50" s="27"/>
      <c r="I50" s="27"/>
      <c r="J50" s="57"/>
      <c r="K50" s="27"/>
      <c r="L50" s="27"/>
      <c r="M50" s="27"/>
      <c r="N50" s="27"/>
      <c r="O50" s="27"/>
      <c r="P50" s="27"/>
      <c r="Q50" s="27"/>
      <c r="R50" s="27"/>
      <c r="S50" s="27"/>
    </row>
    <row r="51" spans="1:19" x14ac:dyDescent="0.25">
      <c r="A51" s="55"/>
      <c r="B51" s="22"/>
      <c r="C51" s="26"/>
      <c r="D51" s="27"/>
      <c r="E51" s="22"/>
      <c r="F51" s="58"/>
      <c r="G51" s="75"/>
      <c r="H51" s="27"/>
      <c r="I51" s="27"/>
      <c r="J51" s="57"/>
      <c r="K51" s="27"/>
      <c r="L51" s="27"/>
      <c r="M51" s="27"/>
      <c r="N51" s="27"/>
      <c r="O51" s="27"/>
      <c r="P51" s="27"/>
      <c r="Q51" s="27"/>
      <c r="R51" s="27"/>
      <c r="S51" s="27"/>
    </row>
    <row r="52" spans="1:19" x14ac:dyDescent="0.25">
      <c r="A52" s="55"/>
      <c r="B52" s="22"/>
      <c r="C52" s="26"/>
      <c r="D52" s="27"/>
      <c r="E52" s="22"/>
      <c r="F52" s="58"/>
      <c r="G52" s="75"/>
      <c r="H52" s="27"/>
      <c r="I52" s="27"/>
      <c r="J52" s="57"/>
      <c r="K52" s="27"/>
      <c r="L52" s="27"/>
      <c r="M52" s="27"/>
      <c r="N52" s="27"/>
      <c r="O52" s="27"/>
      <c r="P52" s="27"/>
      <c r="Q52" s="27"/>
      <c r="R52" s="27"/>
      <c r="S52" s="27"/>
    </row>
    <row r="53" spans="1:19" x14ac:dyDescent="0.25">
      <c r="A53" s="55"/>
      <c r="B53" s="22"/>
      <c r="C53" s="26"/>
      <c r="D53" s="27"/>
      <c r="E53" s="22"/>
      <c r="F53" s="58"/>
      <c r="G53" s="75"/>
      <c r="H53" s="27"/>
      <c r="I53" s="27"/>
      <c r="J53" s="57"/>
      <c r="K53" s="27"/>
      <c r="L53" s="27"/>
      <c r="M53" s="27"/>
      <c r="N53" s="27"/>
      <c r="O53" s="27"/>
      <c r="P53" s="27"/>
      <c r="Q53" s="27"/>
      <c r="R53" s="27"/>
      <c r="S53" s="27"/>
    </row>
    <row r="54" spans="1:19" x14ac:dyDescent="0.25">
      <c r="A54" s="55"/>
      <c r="B54" s="22"/>
      <c r="C54" s="26"/>
      <c r="D54" s="27"/>
      <c r="E54" s="22"/>
      <c r="F54" s="58"/>
      <c r="G54" s="75"/>
      <c r="H54" s="27"/>
      <c r="I54" s="27"/>
      <c r="J54" s="57"/>
      <c r="K54" s="27"/>
      <c r="L54" s="27"/>
      <c r="M54" s="27"/>
      <c r="N54" s="27"/>
      <c r="O54" s="27"/>
      <c r="P54" s="27"/>
      <c r="Q54" s="27"/>
      <c r="R54" s="27"/>
      <c r="S54" s="27"/>
    </row>
    <row r="55" spans="1:19" x14ac:dyDescent="0.25">
      <c r="A55" s="55"/>
      <c r="B55" s="22"/>
      <c r="C55" s="26"/>
      <c r="D55" s="27"/>
      <c r="E55" s="22"/>
      <c r="F55" s="58"/>
      <c r="G55" s="75"/>
      <c r="H55" s="27"/>
      <c r="I55" s="27"/>
      <c r="J55" s="57"/>
      <c r="K55" s="27"/>
      <c r="L55" s="27"/>
      <c r="M55" s="27"/>
      <c r="N55" s="27"/>
      <c r="O55" s="27"/>
      <c r="P55" s="27"/>
      <c r="Q55" s="27"/>
      <c r="R55" s="27"/>
      <c r="S55" s="27"/>
    </row>
    <row r="56" spans="1:19" x14ac:dyDescent="0.25">
      <c r="A56" s="55"/>
      <c r="B56" s="22"/>
      <c r="C56" s="26"/>
      <c r="D56" s="27"/>
      <c r="E56" s="22"/>
      <c r="F56" s="58"/>
      <c r="G56" s="75"/>
      <c r="H56" s="27"/>
      <c r="I56" s="27"/>
      <c r="J56" s="57"/>
      <c r="K56" s="27"/>
      <c r="L56" s="27"/>
      <c r="M56" s="27"/>
      <c r="N56" s="27"/>
      <c r="O56" s="27"/>
      <c r="P56" s="27"/>
      <c r="Q56" s="27"/>
      <c r="R56" s="27"/>
      <c r="S56" s="27"/>
    </row>
    <row r="57" spans="1:19" x14ac:dyDescent="0.25">
      <c r="A57" s="55"/>
      <c r="B57" s="22"/>
      <c r="C57" s="26"/>
      <c r="D57" s="27"/>
      <c r="E57" s="22"/>
      <c r="F57" s="58"/>
      <c r="G57" s="75"/>
      <c r="H57" s="27"/>
      <c r="I57" s="27"/>
      <c r="J57" s="57"/>
      <c r="K57" s="27"/>
      <c r="L57" s="27"/>
      <c r="M57" s="27"/>
      <c r="N57" s="27"/>
      <c r="O57" s="27"/>
      <c r="P57" s="27"/>
      <c r="Q57" s="27"/>
      <c r="R57" s="27"/>
      <c r="S57" s="27"/>
    </row>
    <row r="58" spans="1:19" x14ac:dyDescent="0.25">
      <c r="A58" s="55"/>
      <c r="B58" s="22"/>
      <c r="C58" s="26"/>
      <c r="D58" s="27"/>
      <c r="E58" s="22"/>
      <c r="F58" s="58"/>
      <c r="G58" s="75"/>
      <c r="H58" s="27"/>
      <c r="I58" s="27"/>
      <c r="J58" s="57"/>
      <c r="K58" s="27"/>
      <c r="L58" s="27"/>
      <c r="M58" s="27"/>
      <c r="N58" s="27"/>
      <c r="O58" s="27"/>
      <c r="P58" s="27"/>
      <c r="Q58" s="27"/>
      <c r="R58" s="27"/>
      <c r="S58" s="27"/>
    </row>
    <row r="59" spans="1:19" x14ac:dyDescent="0.25">
      <c r="A59" s="55"/>
      <c r="B59" s="22"/>
      <c r="C59" s="26"/>
      <c r="D59" s="27"/>
      <c r="E59" s="22"/>
      <c r="F59" s="58"/>
      <c r="G59" s="75"/>
      <c r="H59" s="27"/>
      <c r="I59" s="27"/>
      <c r="J59" s="57"/>
      <c r="K59" s="27"/>
      <c r="L59" s="27"/>
      <c r="M59" s="27"/>
      <c r="N59" s="27"/>
      <c r="O59" s="27"/>
      <c r="P59" s="27"/>
      <c r="Q59" s="27"/>
      <c r="R59" s="27"/>
      <c r="S59" s="27"/>
    </row>
    <row r="60" spans="1:19" x14ac:dyDescent="0.25">
      <c r="A60" s="55"/>
      <c r="B60" s="22"/>
      <c r="C60" s="26"/>
      <c r="D60" s="27"/>
      <c r="E60" s="22"/>
      <c r="F60" s="58"/>
      <c r="G60" s="75"/>
      <c r="H60" s="27"/>
      <c r="I60" s="27"/>
      <c r="J60" s="57"/>
      <c r="K60" s="27"/>
      <c r="L60" s="27"/>
      <c r="M60" s="27"/>
      <c r="N60" s="27"/>
      <c r="O60" s="27"/>
      <c r="P60" s="27"/>
      <c r="Q60" s="27"/>
      <c r="R60" s="27"/>
      <c r="S60" s="27"/>
    </row>
    <row r="61" spans="1:19" x14ac:dyDescent="0.25">
      <c r="A61" s="55"/>
      <c r="B61" s="22"/>
      <c r="C61" s="26"/>
      <c r="D61" s="27"/>
      <c r="E61" s="22"/>
      <c r="F61" s="58"/>
      <c r="G61" s="75"/>
      <c r="H61" s="27"/>
      <c r="I61" s="27"/>
      <c r="J61" s="57"/>
      <c r="K61" s="27"/>
      <c r="L61" s="27"/>
      <c r="M61" s="27"/>
      <c r="N61" s="27"/>
      <c r="O61" s="27"/>
      <c r="P61" s="27"/>
      <c r="Q61" s="27"/>
      <c r="R61" s="27"/>
      <c r="S61" s="27"/>
    </row>
    <row r="62" spans="1:19" x14ac:dyDescent="0.25">
      <c r="A62" s="55"/>
      <c r="B62" s="22"/>
      <c r="C62" s="26"/>
      <c r="D62" s="27"/>
      <c r="E62" s="22"/>
      <c r="F62" s="58"/>
      <c r="G62" s="75"/>
      <c r="H62" s="27"/>
      <c r="I62" s="27"/>
      <c r="J62" s="57"/>
      <c r="K62" s="27"/>
      <c r="L62" s="27"/>
      <c r="M62" s="27"/>
      <c r="N62" s="27"/>
      <c r="O62" s="27"/>
      <c r="P62" s="27"/>
      <c r="Q62" s="27"/>
      <c r="R62" s="27"/>
      <c r="S62" s="27"/>
    </row>
    <row r="63" spans="1:19" x14ac:dyDescent="0.25">
      <c r="A63" s="55"/>
      <c r="B63" s="22"/>
      <c r="C63" s="26"/>
      <c r="D63" s="27"/>
      <c r="E63" s="22"/>
      <c r="F63" s="58"/>
      <c r="G63" s="75"/>
      <c r="H63" s="27"/>
      <c r="I63" s="27"/>
      <c r="J63" s="57"/>
      <c r="K63" s="27"/>
      <c r="L63" s="27"/>
      <c r="M63" s="27"/>
      <c r="N63" s="27"/>
      <c r="O63" s="27"/>
      <c r="P63" s="27"/>
      <c r="Q63" s="27"/>
      <c r="R63" s="27"/>
      <c r="S63" s="27"/>
    </row>
    <row r="64" spans="1:19" x14ac:dyDescent="0.25">
      <c r="A64" s="55"/>
      <c r="B64" s="22"/>
      <c r="C64" s="26"/>
      <c r="D64" s="27"/>
      <c r="E64" s="22"/>
      <c r="F64" s="58"/>
      <c r="G64" s="75"/>
      <c r="H64" s="27"/>
      <c r="I64" s="27"/>
      <c r="J64" s="57"/>
      <c r="K64" s="27"/>
      <c r="L64" s="27"/>
      <c r="M64" s="27"/>
      <c r="N64" s="27"/>
      <c r="O64" s="27"/>
      <c r="P64" s="27"/>
      <c r="Q64" s="27"/>
      <c r="R64" s="27"/>
      <c r="S64" s="27"/>
    </row>
    <row r="65" spans="1:19" x14ac:dyDescent="0.25">
      <c r="A65" s="55"/>
      <c r="B65" s="22"/>
      <c r="C65" s="26"/>
      <c r="D65" s="27"/>
      <c r="E65" s="22"/>
      <c r="F65" s="58"/>
      <c r="G65" s="75"/>
      <c r="H65" s="27"/>
      <c r="I65" s="27"/>
      <c r="J65" s="57"/>
      <c r="K65" s="27"/>
      <c r="L65" s="27"/>
      <c r="M65" s="27"/>
      <c r="N65" s="27"/>
      <c r="O65" s="27"/>
      <c r="P65" s="27"/>
      <c r="Q65" s="27"/>
      <c r="R65" s="27"/>
      <c r="S65" s="27"/>
    </row>
    <row r="66" spans="1:19" x14ac:dyDescent="0.25">
      <c r="A66" s="55"/>
      <c r="B66" s="22"/>
      <c r="C66" s="26"/>
      <c r="D66" s="27"/>
      <c r="E66" s="22"/>
      <c r="F66" s="58"/>
      <c r="G66" s="75"/>
      <c r="H66" s="27"/>
      <c r="I66" s="27"/>
      <c r="J66" s="57"/>
      <c r="K66" s="27"/>
      <c r="L66" s="27"/>
      <c r="M66" s="27"/>
      <c r="N66" s="27"/>
      <c r="O66" s="27"/>
      <c r="P66" s="27"/>
      <c r="Q66" s="27"/>
      <c r="R66" s="27"/>
      <c r="S66" s="27"/>
    </row>
    <row r="67" spans="1:19" x14ac:dyDescent="0.25">
      <c r="A67" s="55"/>
      <c r="B67" s="22"/>
      <c r="C67" s="26"/>
      <c r="D67" s="27"/>
      <c r="E67" s="22"/>
      <c r="F67" s="58"/>
      <c r="G67" s="75"/>
      <c r="H67" s="27"/>
      <c r="I67" s="27"/>
      <c r="J67" s="57"/>
      <c r="K67" s="27"/>
      <c r="L67" s="27"/>
      <c r="M67" s="27"/>
      <c r="N67" s="27"/>
      <c r="O67" s="27"/>
      <c r="P67" s="27"/>
      <c r="Q67" s="27"/>
      <c r="R67" s="27"/>
      <c r="S67" s="27"/>
    </row>
    <row r="68" spans="1:19" x14ac:dyDescent="0.25">
      <c r="A68" s="55"/>
      <c r="B68" s="22"/>
      <c r="C68" s="26"/>
      <c r="D68" s="27"/>
      <c r="E68" s="22"/>
      <c r="F68" s="58"/>
      <c r="G68" s="75"/>
      <c r="H68" s="27"/>
      <c r="I68" s="27"/>
      <c r="J68" s="57"/>
      <c r="K68" s="27"/>
      <c r="L68" s="27"/>
      <c r="M68" s="27"/>
      <c r="N68" s="27"/>
      <c r="O68" s="27"/>
      <c r="P68" s="27"/>
      <c r="Q68" s="27"/>
      <c r="R68" s="27"/>
      <c r="S68" s="27"/>
    </row>
    <row r="69" spans="1:19" x14ac:dyDescent="0.25">
      <c r="A69" s="55"/>
      <c r="B69" s="22"/>
      <c r="C69" s="26"/>
      <c r="D69" s="27"/>
      <c r="E69" s="22"/>
      <c r="F69" s="58"/>
      <c r="G69" s="75"/>
      <c r="H69" s="27"/>
      <c r="I69" s="27"/>
      <c r="J69" s="57"/>
      <c r="K69" s="27"/>
      <c r="L69" s="27"/>
      <c r="M69" s="27"/>
      <c r="N69" s="27"/>
      <c r="O69" s="27"/>
      <c r="P69" s="27"/>
      <c r="Q69" s="27"/>
      <c r="R69" s="27"/>
      <c r="S69" s="27"/>
    </row>
    <row r="70" spans="1:19" x14ac:dyDescent="0.25">
      <c r="A70" s="55"/>
      <c r="B70" s="22"/>
      <c r="C70" s="26"/>
      <c r="D70" s="27"/>
      <c r="E70" s="22"/>
      <c r="F70" s="58"/>
      <c r="G70" s="75"/>
      <c r="H70" s="27"/>
      <c r="I70" s="27"/>
      <c r="J70" s="57"/>
      <c r="K70" s="27"/>
      <c r="L70" s="27"/>
      <c r="M70" s="27"/>
      <c r="N70" s="27"/>
      <c r="O70" s="27"/>
      <c r="P70" s="27"/>
      <c r="Q70" s="27"/>
      <c r="R70" s="27"/>
      <c r="S70" s="27"/>
    </row>
    <row r="71" spans="1:19" x14ac:dyDescent="0.25">
      <c r="A71" s="55"/>
      <c r="B71" s="22"/>
      <c r="C71" s="26"/>
      <c r="D71" s="27"/>
      <c r="E71" s="22"/>
      <c r="F71" s="58"/>
      <c r="G71" s="75"/>
      <c r="H71" s="27"/>
      <c r="I71" s="27"/>
      <c r="J71" s="57"/>
      <c r="K71" s="27"/>
      <c r="L71" s="27"/>
      <c r="M71" s="27"/>
      <c r="N71" s="27"/>
      <c r="O71" s="27"/>
      <c r="P71" s="27"/>
      <c r="Q71" s="27"/>
      <c r="R71" s="27"/>
      <c r="S71" s="27"/>
    </row>
    <row r="72" spans="1:19" x14ac:dyDescent="0.25">
      <c r="A72" s="55"/>
      <c r="B72" s="22"/>
      <c r="C72" s="26"/>
      <c r="D72" s="27"/>
      <c r="E72" s="22"/>
      <c r="F72" s="58"/>
      <c r="G72" s="75"/>
      <c r="H72" s="27"/>
      <c r="I72" s="27"/>
      <c r="J72" s="57"/>
      <c r="K72" s="27"/>
      <c r="L72" s="27"/>
      <c r="M72" s="27"/>
      <c r="N72" s="27"/>
      <c r="O72" s="27"/>
      <c r="P72" s="27"/>
      <c r="Q72" s="27"/>
      <c r="R72" s="27"/>
      <c r="S72" s="27"/>
    </row>
    <row r="73" spans="1:19" x14ac:dyDescent="0.25">
      <c r="A73" s="55"/>
      <c r="B73" s="22"/>
      <c r="C73" s="26"/>
      <c r="D73" s="27"/>
      <c r="E73" s="22"/>
      <c r="F73" s="58"/>
      <c r="G73" s="75"/>
      <c r="H73" s="27"/>
      <c r="I73" s="27"/>
      <c r="J73" s="57"/>
      <c r="K73" s="27"/>
      <c r="L73" s="27"/>
      <c r="M73" s="27"/>
      <c r="N73" s="27"/>
      <c r="O73" s="27"/>
      <c r="P73" s="27"/>
      <c r="Q73" s="27"/>
      <c r="R73" s="27"/>
      <c r="S73" s="27"/>
    </row>
    <row r="74" spans="1:19" x14ac:dyDescent="0.25">
      <c r="A74" s="55"/>
      <c r="B74" s="22"/>
      <c r="C74" s="26"/>
      <c r="D74" s="27"/>
      <c r="E74" s="22"/>
      <c r="F74" s="58"/>
      <c r="G74" s="75"/>
      <c r="H74" s="27"/>
      <c r="I74" s="27"/>
      <c r="J74" s="57"/>
      <c r="K74" s="27"/>
      <c r="L74" s="27"/>
      <c r="M74" s="27"/>
      <c r="N74" s="27"/>
      <c r="O74" s="27"/>
      <c r="P74" s="27"/>
      <c r="Q74" s="27"/>
      <c r="R74" s="27"/>
      <c r="S74" s="27"/>
    </row>
    <row r="75" spans="1:19" x14ac:dyDescent="0.25">
      <c r="A75" s="55"/>
      <c r="B75" s="22"/>
      <c r="C75" s="26"/>
      <c r="D75" s="27"/>
      <c r="E75" s="22"/>
      <c r="F75" s="58"/>
      <c r="G75" s="75"/>
      <c r="H75" s="27"/>
      <c r="I75" s="27"/>
      <c r="J75" s="57"/>
      <c r="K75" s="27"/>
      <c r="L75" s="27"/>
      <c r="M75" s="27"/>
      <c r="N75" s="27"/>
      <c r="O75" s="27"/>
      <c r="P75" s="27"/>
      <c r="Q75" s="27"/>
      <c r="R75" s="27"/>
      <c r="S75" s="27"/>
    </row>
  </sheetData>
  <autoFilter ref="A15:F37"/>
  <customSheetViews>
    <customSheetView guid="{A9A16196-6861-4A6C-AAFE-6C81857751A4}" scale="80" showGridLines="0" fitToPage="1" showAutoFilter="1" hiddenRows="1">
      <selection activeCell="C9" sqref="C9"/>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s>
  <mergeCells count="1">
    <mergeCell ref="B2:C2"/>
  </mergeCells>
  <conditionalFormatting sqref="F26:F39 F46:F75">
    <cfRule type="cellIs" dxfId="16" priority="17" operator="equal">
      <formula>NEI</formula>
    </cfRule>
  </conditionalFormatting>
  <conditionalFormatting sqref="F26:F39 F46:F75">
    <cfRule type="cellIs" dxfId="15" priority="16" operator="equal">
      <formula>"JA"</formula>
    </cfRule>
  </conditionalFormatting>
  <conditionalFormatting sqref="F26:F39 F46:F75">
    <cfRule type="cellIs" dxfId="14" priority="13" operator="equal">
      <formula>"NEI"</formula>
    </cfRule>
    <cfRule type="cellIs" dxfId="13" priority="14" operator="equal">
      <formula>"JA"</formula>
    </cfRule>
    <cfRule type="cellIs" dxfId="12" priority="15" operator="equal">
      <formula>"JA"</formula>
    </cfRule>
  </conditionalFormatting>
  <conditionalFormatting sqref="G16:G19">
    <cfRule type="cellIs" dxfId="11" priority="12" operator="equal">
      <formula>NEI</formula>
    </cfRule>
  </conditionalFormatting>
  <conditionalFormatting sqref="G16:G19">
    <cfRule type="cellIs" dxfId="10" priority="11" operator="equal">
      <formula>"JA"</formula>
    </cfRule>
  </conditionalFormatting>
  <conditionalFormatting sqref="G16:G19">
    <cfRule type="cellIs" dxfId="9" priority="8" operator="equal">
      <formula>"NEI"</formula>
    </cfRule>
    <cfRule type="cellIs" dxfId="8" priority="9" operator="equal">
      <formula>"JA"</formula>
    </cfRule>
    <cfRule type="cellIs" dxfId="7" priority="10" operator="equal">
      <formula>"JA"</formula>
    </cfRule>
  </conditionalFormatting>
  <conditionalFormatting sqref="F40:F45">
    <cfRule type="cellIs" dxfId="6" priority="7" operator="equal">
      <formula>NEI</formula>
    </cfRule>
  </conditionalFormatting>
  <conditionalFormatting sqref="F40:F45">
    <cfRule type="cellIs" dxfId="5" priority="6" operator="equal">
      <formula>"JA"</formula>
    </cfRule>
  </conditionalFormatting>
  <conditionalFormatting sqref="F40:F45">
    <cfRule type="cellIs" dxfId="4" priority="3" operator="equal">
      <formula>"NEI"</formula>
    </cfRule>
    <cfRule type="cellIs" dxfId="3" priority="4" operator="equal">
      <formula>"JA"</formula>
    </cfRule>
    <cfRule type="cellIs" dxfId="2" priority="5" operator="equal">
      <formula>"JA"</formula>
    </cfRule>
  </conditionalFormatting>
  <conditionalFormatting sqref="D16:D75">
    <cfRule type="cellIs" dxfId="1" priority="1" operator="equal">
      <formula>"ja"</formula>
    </cfRule>
    <cfRule type="cellIs" dxfId="0" priority="2" operator="equal">
      <formula>"nei"</formula>
    </cfRule>
  </conditionalFormatting>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P41"/>
  <sheetViews>
    <sheetView showGridLines="0" zoomScaleNormal="100" workbookViewId="0">
      <selection sqref="A1:D1"/>
    </sheetView>
  </sheetViews>
  <sheetFormatPr baseColWidth="10" defaultColWidth="18.7109375" defaultRowHeight="15" x14ac:dyDescent="0.25"/>
  <cols>
    <col min="1" max="1" width="63.7109375" customWidth="1"/>
    <col min="2" max="2" width="12.5703125" bestFit="1" customWidth="1"/>
    <col min="3" max="3" width="17.42578125" customWidth="1"/>
    <col min="4" max="4" width="12" customWidth="1"/>
    <col min="5" max="11" width="5.42578125" bestFit="1" customWidth="1"/>
    <col min="12" max="16" width="7.140625" bestFit="1" customWidth="1"/>
  </cols>
  <sheetData>
    <row r="1" spans="1:16" ht="23.25" x14ac:dyDescent="0.35">
      <c r="A1" s="129" t="s">
        <v>133</v>
      </c>
      <c r="B1" s="130"/>
      <c r="C1" s="130"/>
      <c r="D1" s="131"/>
      <c r="E1" s="132" t="s">
        <v>126</v>
      </c>
      <c r="F1" s="133"/>
      <c r="G1" s="133"/>
      <c r="H1" s="133"/>
      <c r="I1" s="133"/>
      <c r="J1" s="133"/>
      <c r="K1" s="133"/>
      <c r="L1" s="133"/>
      <c r="M1" s="133"/>
      <c r="N1" s="133"/>
      <c r="O1" s="133"/>
      <c r="P1" s="133"/>
    </row>
    <row r="2" spans="1:16" ht="23.25" x14ac:dyDescent="0.35">
      <c r="A2" s="86" t="s">
        <v>127</v>
      </c>
      <c r="B2" s="86" t="s">
        <v>128</v>
      </c>
      <c r="C2" s="86" t="s">
        <v>129</v>
      </c>
      <c r="D2" s="86" t="s">
        <v>130</v>
      </c>
      <c r="E2" s="86" t="s">
        <v>32</v>
      </c>
      <c r="F2" s="86" t="s">
        <v>33</v>
      </c>
      <c r="G2" s="86" t="s">
        <v>45</v>
      </c>
      <c r="H2" s="86" t="s">
        <v>54</v>
      </c>
      <c r="I2" s="86" t="s">
        <v>55</v>
      </c>
      <c r="J2" s="86" t="s">
        <v>76</v>
      </c>
      <c r="K2" s="86" t="s">
        <v>77</v>
      </c>
      <c r="L2" s="86" t="s">
        <v>78</v>
      </c>
      <c r="M2" s="86" t="s">
        <v>79</v>
      </c>
      <c r="N2" s="86" t="s">
        <v>82</v>
      </c>
      <c r="O2" s="86" t="s">
        <v>83</v>
      </c>
      <c r="P2" s="86" t="s">
        <v>91</v>
      </c>
    </row>
    <row r="3" spans="1:16" ht="31.5" x14ac:dyDescent="0.25">
      <c r="A3" s="73" t="s">
        <v>134</v>
      </c>
      <c r="B3" s="73" t="s">
        <v>131</v>
      </c>
      <c r="C3" s="3"/>
      <c r="D3" s="3"/>
      <c r="E3" s="3" t="s">
        <v>132</v>
      </c>
      <c r="F3" s="87"/>
      <c r="G3" s="3"/>
      <c r="H3" s="3"/>
      <c r="I3" s="8"/>
      <c r="J3" s="3" t="s">
        <v>132</v>
      </c>
      <c r="K3" s="3"/>
      <c r="L3" s="3"/>
      <c r="M3" s="8" t="s">
        <v>132</v>
      </c>
      <c r="N3" s="87"/>
      <c r="O3" s="3"/>
      <c r="P3" s="3"/>
    </row>
    <row r="4" spans="1:16" ht="31.5" x14ac:dyDescent="0.25">
      <c r="A4" s="73" t="s">
        <v>135</v>
      </c>
      <c r="B4" s="73" t="s">
        <v>131</v>
      </c>
      <c r="C4" s="3"/>
      <c r="D4" s="3"/>
      <c r="E4" s="3" t="s">
        <v>132</v>
      </c>
      <c r="F4" s="87"/>
      <c r="G4" s="3"/>
      <c r="H4" s="3"/>
      <c r="I4" s="8"/>
      <c r="J4" s="3" t="s">
        <v>132</v>
      </c>
      <c r="K4" s="3"/>
      <c r="L4" s="3"/>
      <c r="M4" s="8"/>
      <c r="N4" s="87"/>
      <c r="O4" s="3" t="s">
        <v>132</v>
      </c>
      <c r="P4" s="3"/>
    </row>
    <row r="5" spans="1:16" ht="31.5" x14ac:dyDescent="0.25">
      <c r="A5" s="73" t="s">
        <v>136</v>
      </c>
      <c r="B5" s="73" t="s">
        <v>131</v>
      </c>
      <c r="C5" s="3"/>
      <c r="D5" s="3"/>
      <c r="E5" s="3" t="s">
        <v>132</v>
      </c>
      <c r="F5" s="87"/>
      <c r="G5" s="3"/>
      <c r="H5" s="3"/>
      <c r="I5" s="8"/>
      <c r="J5" s="3" t="s">
        <v>132</v>
      </c>
      <c r="K5" s="3"/>
      <c r="L5" s="3"/>
      <c r="M5" s="8"/>
      <c r="N5" s="88"/>
      <c r="O5" s="3"/>
      <c r="P5" s="3" t="s">
        <v>132</v>
      </c>
    </row>
    <row r="6" spans="1:16" ht="36.6" customHeight="1" x14ac:dyDescent="0.25">
      <c r="A6" s="73" t="s">
        <v>137</v>
      </c>
      <c r="B6" s="73" t="s">
        <v>131</v>
      </c>
      <c r="C6" s="3"/>
      <c r="D6" s="3"/>
      <c r="E6" s="3" t="s">
        <v>132</v>
      </c>
      <c r="F6" s="87"/>
      <c r="G6" s="3"/>
      <c r="H6" s="3"/>
      <c r="I6" s="8"/>
      <c r="J6" s="3"/>
      <c r="K6" s="3" t="s">
        <v>132</v>
      </c>
      <c r="L6" s="3"/>
      <c r="M6" s="8" t="s">
        <v>132</v>
      </c>
      <c r="N6" s="87"/>
      <c r="O6" s="3"/>
      <c r="P6" s="3"/>
    </row>
    <row r="7" spans="1:16" ht="47.25" x14ac:dyDescent="0.25">
      <c r="A7" s="73" t="s">
        <v>138</v>
      </c>
      <c r="B7" s="73" t="s">
        <v>131</v>
      </c>
      <c r="C7" s="3"/>
      <c r="D7" s="3"/>
      <c r="E7" s="3" t="s">
        <v>132</v>
      </c>
      <c r="F7" s="87"/>
      <c r="G7" s="3"/>
      <c r="H7" s="3"/>
      <c r="I7" s="8"/>
      <c r="J7" s="3"/>
      <c r="K7" s="3" t="s">
        <v>132</v>
      </c>
      <c r="L7" s="3"/>
      <c r="M7" s="8"/>
      <c r="N7" s="87"/>
      <c r="O7" s="3" t="s">
        <v>132</v>
      </c>
      <c r="P7" s="3"/>
    </row>
    <row r="8" spans="1:16" ht="47.25" x14ac:dyDescent="0.25">
      <c r="A8" s="73" t="s">
        <v>139</v>
      </c>
      <c r="B8" s="73" t="s">
        <v>131</v>
      </c>
      <c r="C8" s="3"/>
      <c r="D8" s="3"/>
      <c r="E8" s="3" t="s">
        <v>132</v>
      </c>
      <c r="F8" s="87"/>
      <c r="G8" s="3"/>
      <c r="H8" s="3"/>
      <c r="I8" s="8"/>
      <c r="J8" s="3"/>
      <c r="K8" s="3" t="s">
        <v>132</v>
      </c>
      <c r="L8" s="3"/>
      <c r="M8" s="8"/>
      <c r="N8" s="87"/>
      <c r="O8" s="3"/>
      <c r="P8" s="3" t="s">
        <v>132</v>
      </c>
    </row>
    <row r="9" spans="1:16" ht="33.6" customHeight="1" x14ac:dyDescent="0.25">
      <c r="A9" s="73" t="s">
        <v>140</v>
      </c>
      <c r="B9" s="73" t="s">
        <v>131</v>
      </c>
      <c r="C9" s="3"/>
      <c r="D9" s="3"/>
      <c r="E9" s="3" t="s">
        <v>132</v>
      </c>
      <c r="F9" s="87"/>
      <c r="G9" s="3"/>
      <c r="H9" s="3"/>
      <c r="I9" s="8"/>
      <c r="J9" s="3"/>
      <c r="K9" s="3"/>
      <c r="L9" s="3" t="s">
        <v>132</v>
      </c>
      <c r="M9" s="8" t="s">
        <v>132</v>
      </c>
      <c r="N9" s="87"/>
      <c r="O9" s="3"/>
      <c r="P9" s="3"/>
    </row>
    <row r="10" spans="1:16" ht="47.25" x14ac:dyDescent="0.25">
      <c r="A10" s="73" t="s">
        <v>141</v>
      </c>
      <c r="B10" s="73" t="s">
        <v>131</v>
      </c>
      <c r="C10" s="3"/>
      <c r="D10" s="3"/>
      <c r="E10" s="3" t="s">
        <v>132</v>
      </c>
      <c r="F10" s="87"/>
      <c r="G10" s="3"/>
      <c r="H10" s="3"/>
      <c r="I10" s="8"/>
      <c r="J10" s="3"/>
      <c r="K10" s="3"/>
      <c r="L10" s="3" t="s">
        <v>132</v>
      </c>
      <c r="M10" s="8"/>
      <c r="N10" s="87"/>
      <c r="O10" s="3" t="s">
        <v>132</v>
      </c>
      <c r="P10" s="3"/>
    </row>
    <row r="11" spans="1:16" ht="47.25" x14ac:dyDescent="0.25">
      <c r="A11" s="73" t="s">
        <v>142</v>
      </c>
      <c r="B11" s="73" t="s">
        <v>131</v>
      </c>
      <c r="C11" s="3"/>
      <c r="D11" s="3"/>
      <c r="E11" s="3" t="s">
        <v>132</v>
      </c>
      <c r="F11" s="87"/>
      <c r="G11" s="3"/>
      <c r="H11" s="3"/>
      <c r="I11" s="8"/>
      <c r="J11" s="3"/>
      <c r="K11" s="3"/>
      <c r="L11" s="3" t="s">
        <v>132</v>
      </c>
      <c r="M11" s="8"/>
      <c r="N11" s="87"/>
      <c r="O11" s="3"/>
      <c r="P11" s="3" t="s">
        <v>132</v>
      </c>
    </row>
    <row r="12" spans="1:16" ht="47.25" x14ac:dyDescent="0.25">
      <c r="A12" s="73" t="s">
        <v>143</v>
      </c>
      <c r="B12" s="73" t="s">
        <v>131</v>
      </c>
      <c r="C12" s="3"/>
      <c r="D12" s="3"/>
      <c r="E12" s="3"/>
      <c r="F12" s="87"/>
      <c r="G12" s="3" t="s">
        <v>132</v>
      </c>
      <c r="H12" s="3"/>
      <c r="I12" s="8"/>
      <c r="J12" s="3" t="s">
        <v>132</v>
      </c>
      <c r="K12" s="3"/>
      <c r="L12" s="3"/>
      <c r="M12" s="8" t="s">
        <v>132</v>
      </c>
      <c r="N12" s="87"/>
      <c r="O12" s="3"/>
      <c r="P12" s="3"/>
    </row>
    <row r="13" spans="1:16" ht="47.25" x14ac:dyDescent="0.25">
      <c r="A13" s="73" t="s">
        <v>144</v>
      </c>
      <c r="B13" s="73" t="s">
        <v>131</v>
      </c>
      <c r="C13" s="3"/>
      <c r="D13" s="3"/>
      <c r="E13" s="3"/>
      <c r="F13" s="87"/>
      <c r="G13" s="3" t="s">
        <v>132</v>
      </c>
      <c r="H13" s="3"/>
      <c r="I13" s="8"/>
      <c r="J13" s="3" t="s">
        <v>132</v>
      </c>
      <c r="K13" s="3"/>
      <c r="L13" s="3"/>
      <c r="M13" s="8"/>
      <c r="N13" s="87"/>
      <c r="O13" s="3" t="s">
        <v>132</v>
      </c>
      <c r="P13" s="3"/>
    </row>
    <row r="14" spans="1:16" ht="47.25" x14ac:dyDescent="0.25">
      <c r="A14" s="73" t="s">
        <v>145</v>
      </c>
      <c r="B14" s="73" t="s">
        <v>131</v>
      </c>
      <c r="C14" s="3"/>
      <c r="D14" s="3"/>
      <c r="E14" s="3"/>
      <c r="F14" s="87"/>
      <c r="G14" s="3" t="s">
        <v>132</v>
      </c>
      <c r="H14" s="3"/>
      <c r="I14" s="8"/>
      <c r="J14" s="3" t="s">
        <v>132</v>
      </c>
      <c r="K14" s="3"/>
      <c r="L14" s="3"/>
      <c r="M14" s="8"/>
      <c r="N14" s="87"/>
      <c r="O14" s="3"/>
      <c r="P14" s="3" t="s">
        <v>132</v>
      </c>
    </row>
    <row r="15" spans="1:16" ht="47.25" x14ac:dyDescent="0.25">
      <c r="A15" s="73" t="s">
        <v>146</v>
      </c>
      <c r="B15" s="73" t="s">
        <v>131</v>
      </c>
      <c r="C15" s="3"/>
      <c r="D15" s="3"/>
      <c r="E15" s="3"/>
      <c r="F15" s="87"/>
      <c r="G15" s="3" t="s">
        <v>132</v>
      </c>
      <c r="H15" s="3"/>
      <c r="I15" s="8"/>
      <c r="J15" s="3"/>
      <c r="K15" s="3" t="s">
        <v>132</v>
      </c>
      <c r="L15" s="3"/>
      <c r="M15" s="8" t="s">
        <v>132</v>
      </c>
      <c r="N15" s="87"/>
      <c r="O15" s="3"/>
      <c r="P15" s="3"/>
    </row>
    <row r="16" spans="1:16" ht="47.25" x14ac:dyDescent="0.25">
      <c r="A16" s="73" t="s">
        <v>147</v>
      </c>
      <c r="B16" s="73" t="s">
        <v>131</v>
      </c>
      <c r="C16" s="3"/>
      <c r="D16" s="3"/>
      <c r="E16" s="3"/>
      <c r="F16" s="87"/>
      <c r="G16" s="3" t="s">
        <v>132</v>
      </c>
      <c r="H16" s="3"/>
      <c r="I16" s="8"/>
      <c r="J16" s="3"/>
      <c r="K16" s="3" t="s">
        <v>132</v>
      </c>
      <c r="L16" s="3"/>
      <c r="M16" s="8"/>
      <c r="N16" s="87"/>
      <c r="O16" s="3" t="s">
        <v>132</v>
      </c>
      <c r="P16" s="3"/>
    </row>
    <row r="17" spans="1:16" ht="47.25" x14ac:dyDescent="0.25">
      <c r="A17" s="73" t="s">
        <v>148</v>
      </c>
      <c r="B17" s="73" t="s">
        <v>131</v>
      </c>
      <c r="C17" s="3"/>
      <c r="D17" s="3"/>
      <c r="E17" s="3"/>
      <c r="F17" s="87"/>
      <c r="G17" s="3" t="s">
        <v>132</v>
      </c>
      <c r="H17" s="3"/>
      <c r="I17" s="8"/>
      <c r="J17" s="3"/>
      <c r="K17" s="3" t="s">
        <v>132</v>
      </c>
      <c r="L17" s="3"/>
      <c r="M17" s="8"/>
      <c r="N17" s="87"/>
      <c r="O17" s="3"/>
      <c r="P17" s="3" t="s">
        <v>132</v>
      </c>
    </row>
    <row r="18" spans="1:16" ht="47.25" x14ac:dyDescent="0.25">
      <c r="A18" s="73" t="s">
        <v>149</v>
      </c>
      <c r="B18" s="73" t="s">
        <v>131</v>
      </c>
      <c r="C18" s="3"/>
      <c r="D18" s="3"/>
      <c r="E18" s="3"/>
      <c r="F18" s="87"/>
      <c r="G18" s="3" t="s">
        <v>132</v>
      </c>
      <c r="H18" s="3"/>
      <c r="I18" s="8"/>
      <c r="J18" s="3"/>
      <c r="K18" s="3"/>
      <c r="L18" s="3" t="s">
        <v>132</v>
      </c>
      <c r="M18" s="8" t="s">
        <v>132</v>
      </c>
      <c r="N18" s="87"/>
      <c r="O18" s="3"/>
      <c r="P18" s="3"/>
    </row>
    <row r="19" spans="1:16" ht="47.25" x14ac:dyDescent="0.25">
      <c r="A19" s="73" t="s">
        <v>150</v>
      </c>
      <c r="B19" s="73" t="s">
        <v>131</v>
      </c>
      <c r="C19" s="3"/>
      <c r="D19" s="3"/>
      <c r="E19" s="3"/>
      <c r="F19" s="87"/>
      <c r="G19" s="3" t="s">
        <v>132</v>
      </c>
      <c r="H19" s="3"/>
      <c r="I19" s="8"/>
      <c r="J19" s="3"/>
      <c r="K19" s="3"/>
      <c r="L19" s="3" t="s">
        <v>132</v>
      </c>
      <c r="M19" s="8"/>
      <c r="N19" s="87"/>
      <c r="O19" s="3" t="s">
        <v>132</v>
      </c>
      <c r="P19" s="3"/>
    </row>
    <row r="20" spans="1:16" ht="47.25" x14ac:dyDescent="0.25">
      <c r="A20" s="73" t="s">
        <v>151</v>
      </c>
      <c r="B20" s="73" t="s">
        <v>131</v>
      </c>
      <c r="C20" s="3"/>
      <c r="D20" s="3"/>
      <c r="E20" s="3"/>
      <c r="F20" s="87"/>
      <c r="G20" s="3" t="s">
        <v>132</v>
      </c>
      <c r="H20" s="3"/>
      <c r="I20" s="8"/>
      <c r="J20" s="3"/>
      <c r="K20" s="3"/>
      <c r="L20" s="3" t="s">
        <v>132</v>
      </c>
      <c r="M20" s="8"/>
      <c r="N20" s="87"/>
      <c r="O20" s="3"/>
      <c r="P20" s="3" t="s">
        <v>132</v>
      </c>
    </row>
    <row r="21" spans="1:16" ht="47.25" x14ac:dyDescent="0.25">
      <c r="A21" s="73" t="s">
        <v>153</v>
      </c>
      <c r="B21" s="73" t="s">
        <v>131</v>
      </c>
      <c r="C21" s="3"/>
      <c r="D21" s="3"/>
      <c r="E21" s="3"/>
      <c r="F21" s="87"/>
      <c r="G21" s="3"/>
      <c r="H21" s="3" t="s">
        <v>132</v>
      </c>
      <c r="I21" s="8"/>
      <c r="J21" s="3" t="s">
        <v>132</v>
      </c>
      <c r="K21" s="3"/>
      <c r="L21" s="3"/>
      <c r="M21" s="8" t="s">
        <v>132</v>
      </c>
      <c r="N21" s="87"/>
      <c r="O21" s="3"/>
      <c r="P21" s="3"/>
    </row>
    <row r="22" spans="1:16" ht="47.25" x14ac:dyDescent="0.25">
      <c r="A22" s="73" t="s">
        <v>154</v>
      </c>
      <c r="B22" s="73" t="s">
        <v>131</v>
      </c>
      <c r="C22" s="3"/>
      <c r="D22" s="3"/>
      <c r="E22" s="3"/>
      <c r="F22" s="87"/>
      <c r="G22" s="3"/>
      <c r="H22" s="3" t="s">
        <v>132</v>
      </c>
      <c r="I22" s="8"/>
      <c r="J22" s="3" t="s">
        <v>132</v>
      </c>
      <c r="K22" s="3"/>
      <c r="L22" s="3"/>
      <c r="M22" s="8"/>
      <c r="N22" s="87"/>
      <c r="O22" s="3" t="s">
        <v>132</v>
      </c>
      <c r="P22" s="3"/>
    </row>
    <row r="23" spans="1:16" ht="47.25" x14ac:dyDescent="0.25">
      <c r="A23" s="73" t="s">
        <v>155</v>
      </c>
      <c r="B23" s="73" t="s">
        <v>131</v>
      </c>
      <c r="C23" s="3"/>
      <c r="D23" s="3"/>
      <c r="E23" s="3"/>
      <c r="F23" s="87"/>
      <c r="G23" s="3"/>
      <c r="H23" s="3" t="s">
        <v>132</v>
      </c>
      <c r="I23" s="8"/>
      <c r="J23" s="3" t="s">
        <v>132</v>
      </c>
      <c r="K23" s="3"/>
      <c r="L23" s="3"/>
      <c r="M23" s="8"/>
      <c r="N23" s="87"/>
      <c r="O23" s="3"/>
      <c r="P23" s="3" t="s">
        <v>132</v>
      </c>
    </row>
    <row r="24" spans="1:16" ht="47.25" x14ac:dyDescent="0.25">
      <c r="A24" s="73" t="s">
        <v>156</v>
      </c>
      <c r="B24" s="73" t="s">
        <v>131</v>
      </c>
      <c r="C24" s="3"/>
      <c r="D24" s="3"/>
      <c r="E24" s="3"/>
      <c r="F24" s="87"/>
      <c r="G24" s="3"/>
      <c r="H24" s="3" t="s">
        <v>132</v>
      </c>
      <c r="I24" s="8"/>
      <c r="J24" s="3"/>
      <c r="K24" s="3" t="s">
        <v>132</v>
      </c>
      <c r="L24" s="3"/>
      <c r="M24" s="8" t="s">
        <v>132</v>
      </c>
      <c r="N24" s="87"/>
      <c r="O24" s="3"/>
      <c r="P24" s="3"/>
    </row>
    <row r="25" spans="1:16" ht="47.25" x14ac:dyDescent="0.25">
      <c r="A25" s="73" t="s">
        <v>157</v>
      </c>
      <c r="B25" s="73" t="s">
        <v>131</v>
      </c>
      <c r="C25" s="3"/>
      <c r="D25" s="3"/>
      <c r="E25" s="3"/>
      <c r="F25" s="87"/>
      <c r="G25" s="3"/>
      <c r="H25" s="3" t="s">
        <v>132</v>
      </c>
      <c r="I25" s="8"/>
      <c r="J25" s="3"/>
      <c r="K25" s="3" t="s">
        <v>132</v>
      </c>
      <c r="L25" s="3"/>
      <c r="M25" s="8"/>
      <c r="N25" s="87"/>
      <c r="O25" s="3" t="s">
        <v>132</v>
      </c>
      <c r="P25" s="3"/>
    </row>
    <row r="26" spans="1:16" ht="47.25" x14ac:dyDescent="0.25">
      <c r="A26" s="73" t="s">
        <v>158</v>
      </c>
      <c r="B26" s="73" t="s">
        <v>131</v>
      </c>
      <c r="C26" s="3"/>
      <c r="D26" s="3"/>
      <c r="E26" s="3"/>
      <c r="F26" s="87"/>
      <c r="G26" s="3"/>
      <c r="H26" s="3" t="s">
        <v>132</v>
      </c>
      <c r="I26" s="8"/>
      <c r="J26" s="3"/>
      <c r="K26" s="3" t="s">
        <v>132</v>
      </c>
      <c r="L26" s="3"/>
      <c r="M26" s="8"/>
      <c r="N26" s="87"/>
      <c r="O26" s="3"/>
      <c r="P26" s="3" t="s">
        <v>132</v>
      </c>
    </row>
    <row r="27" spans="1:16" ht="47.25" x14ac:dyDescent="0.25">
      <c r="A27" s="73" t="s">
        <v>159</v>
      </c>
      <c r="B27" s="73" t="s">
        <v>131</v>
      </c>
      <c r="C27" s="3"/>
      <c r="D27" s="3"/>
      <c r="E27" s="3"/>
      <c r="F27" s="87"/>
      <c r="G27" s="3"/>
      <c r="H27" s="3" t="s">
        <v>132</v>
      </c>
      <c r="I27" s="8"/>
      <c r="J27" s="3"/>
      <c r="K27" s="3"/>
      <c r="L27" s="3" t="s">
        <v>132</v>
      </c>
      <c r="M27" s="8" t="s">
        <v>132</v>
      </c>
      <c r="N27" s="87"/>
      <c r="O27" s="3"/>
      <c r="P27" s="3"/>
    </row>
    <row r="28" spans="1:16" ht="47.25" x14ac:dyDescent="0.25">
      <c r="A28" s="73" t="s">
        <v>160</v>
      </c>
      <c r="B28" s="73" t="s">
        <v>131</v>
      </c>
      <c r="C28" s="3"/>
      <c r="D28" s="3"/>
      <c r="E28" s="3"/>
      <c r="F28" s="87"/>
      <c r="G28" s="3"/>
      <c r="H28" s="3" t="s">
        <v>132</v>
      </c>
      <c r="I28" s="8"/>
      <c r="J28" s="3"/>
      <c r="K28" s="3"/>
      <c r="L28" s="3" t="s">
        <v>132</v>
      </c>
      <c r="M28" s="8"/>
      <c r="N28" s="87"/>
      <c r="O28" s="3" t="s">
        <v>132</v>
      </c>
      <c r="P28" s="3"/>
    </row>
    <row r="29" spans="1:16" ht="47.25" x14ac:dyDescent="0.25">
      <c r="A29" s="73" t="s">
        <v>161</v>
      </c>
      <c r="B29" s="73" t="s">
        <v>131</v>
      </c>
      <c r="C29" s="3"/>
      <c r="D29" s="3"/>
      <c r="E29" s="3"/>
      <c r="F29" s="87"/>
      <c r="G29" s="3"/>
      <c r="H29" s="3" t="s">
        <v>132</v>
      </c>
      <c r="I29" s="8"/>
      <c r="J29" s="3"/>
      <c r="K29" s="3"/>
      <c r="L29" s="3" t="s">
        <v>132</v>
      </c>
      <c r="M29" s="8"/>
      <c r="N29" s="87"/>
      <c r="O29" s="3"/>
      <c r="P29" s="3" t="s">
        <v>132</v>
      </c>
    </row>
    <row r="30" spans="1:16" ht="47.25" x14ac:dyDescent="0.25">
      <c r="A30" s="73" t="s">
        <v>162</v>
      </c>
      <c r="B30" s="73" t="s">
        <v>131</v>
      </c>
      <c r="C30" s="3"/>
      <c r="D30" s="3"/>
      <c r="E30" s="3"/>
      <c r="F30" s="87"/>
      <c r="G30" s="3"/>
      <c r="H30" s="3"/>
      <c r="I30" s="8" t="s">
        <v>132</v>
      </c>
      <c r="J30" s="3" t="s">
        <v>132</v>
      </c>
      <c r="K30" s="3"/>
      <c r="L30" s="3"/>
      <c r="M30" s="8" t="s">
        <v>132</v>
      </c>
      <c r="N30" s="87"/>
      <c r="O30" s="3"/>
      <c r="P30" s="3"/>
    </row>
    <row r="31" spans="1:16" ht="47.25" x14ac:dyDescent="0.25">
      <c r="A31" s="73" t="s">
        <v>163</v>
      </c>
      <c r="B31" s="73" t="s">
        <v>131</v>
      </c>
      <c r="C31" s="3"/>
      <c r="D31" s="3"/>
      <c r="E31" s="3"/>
      <c r="F31" s="87"/>
      <c r="G31" s="3"/>
      <c r="H31" s="3"/>
      <c r="I31" s="8" t="s">
        <v>132</v>
      </c>
      <c r="J31" s="3" t="s">
        <v>132</v>
      </c>
      <c r="K31" s="3"/>
      <c r="L31" s="3"/>
      <c r="M31" s="8"/>
      <c r="N31" s="87"/>
      <c r="O31" s="3" t="s">
        <v>132</v>
      </c>
      <c r="P31" s="3"/>
    </row>
    <row r="32" spans="1:16" ht="47.25" x14ac:dyDescent="0.25">
      <c r="A32" s="73" t="s">
        <v>164</v>
      </c>
      <c r="B32" s="73" t="s">
        <v>131</v>
      </c>
      <c r="C32" s="3"/>
      <c r="D32" s="3"/>
      <c r="E32" s="3"/>
      <c r="F32" s="87"/>
      <c r="G32" s="3"/>
      <c r="H32" s="3"/>
      <c r="I32" s="8" t="s">
        <v>132</v>
      </c>
      <c r="J32" s="3" t="s">
        <v>132</v>
      </c>
      <c r="K32" s="3"/>
      <c r="L32" s="3"/>
      <c r="M32" s="8"/>
      <c r="N32" s="87"/>
      <c r="O32" s="3"/>
      <c r="P32" s="3" t="s">
        <v>132</v>
      </c>
    </row>
    <row r="33" spans="1:16" ht="47.25" x14ac:dyDescent="0.25">
      <c r="A33" s="73" t="s">
        <v>165</v>
      </c>
      <c r="B33" s="73" t="s">
        <v>131</v>
      </c>
      <c r="C33" s="3"/>
      <c r="D33" s="3"/>
      <c r="E33" s="3"/>
      <c r="F33" s="87"/>
      <c r="G33" s="3"/>
      <c r="H33" s="3"/>
      <c r="I33" s="8" t="s">
        <v>132</v>
      </c>
      <c r="J33" s="3"/>
      <c r="K33" s="3" t="s">
        <v>132</v>
      </c>
      <c r="L33" s="3"/>
      <c r="M33" s="8" t="s">
        <v>132</v>
      </c>
      <c r="N33" s="87"/>
      <c r="O33" s="3"/>
      <c r="P33" s="3"/>
    </row>
    <row r="34" spans="1:16" ht="47.25" x14ac:dyDescent="0.25">
      <c r="A34" s="73" t="s">
        <v>166</v>
      </c>
      <c r="B34" s="73" t="s">
        <v>131</v>
      </c>
      <c r="C34" s="3"/>
      <c r="D34" s="3"/>
      <c r="E34" s="3"/>
      <c r="F34" s="87"/>
      <c r="G34" s="3"/>
      <c r="H34" s="3"/>
      <c r="I34" s="8" t="s">
        <v>132</v>
      </c>
      <c r="J34" s="3"/>
      <c r="K34" s="3" t="s">
        <v>132</v>
      </c>
      <c r="L34" s="3"/>
      <c r="M34" s="8"/>
      <c r="N34" s="87"/>
      <c r="O34" s="3" t="s">
        <v>132</v>
      </c>
      <c r="P34" s="3"/>
    </row>
    <row r="35" spans="1:16" ht="47.25" x14ac:dyDescent="0.25">
      <c r="A35" s="73" t="s">
        <v>167</v>
      </c>
      <c r="B35" s="73" t="s">
        <v>131</v>
      </c>
      <c r="C35" s="3"/>
      <c r="D35" s="3"/>
      <c r="E35" s="3"/>
      <c r="F35" s="87"/>
      <c r="G35" s="3"/>
      <c r="H35" s="3"/>
      <c r="I35" s="8" t="s">
        <v>132</v>
      </c>
      <c r="J35" s="3"/>
      <c r="K35" s="3" t="s">
        <v>132</v>
      </c>
      <c r="L35" s="3"/>
      <c r="M35" s="8"/>
      <c r="N35" s="87"/>
      <c r="O35" s="3"/>
      <c r="P35" s="3" t="s">
        <v>132</v>
      </c>
    </row>
    <row r="36" spans="1:16" ht="47.25" x14ac:dyDescent="0.25">
      <c r="A36" s="73" t="s">
        <v>168</v>
      </c>
      <c r="B36" s="73" t="s">
        <v>131</v>
      </c>
      <c r="C36" s="3"/>
      <c r="D36" s="3"/>
      <c r="E36" s="3"/>
      <c r="F36" s="87"/>
      <c r="G36" s="3"/>
      <c r="H36" s="3"/>
      <c r="I36" s="8" t="s">
        <v>132</v>
      </c>
      <c r="J36" s="3"/>
      <c r="K36" s="3"/>
      <c r="L36" s="3" t="s">
        <v>132</v>
      </c>
      <c r="M36" s="8" t="s">
        <v>132</v>
      </c>
      <c r="N36" s="87"/>
      <c r="O36" s="3"/>
      <c r="P36" s="3"/>
    </row>
    <row r="37" spans="1:16" ht="47.25" x14ac:dyDescent="0.25">
      <c r="A37" s="73" t="s">
        <v>169</v>
      </c>
      <c r="B37" s="73" t="s">
        <v>131</v>
      </c>
      <c r="C37" s="3"/>
      <c r="D37" s="3"/>
      <c r="E37" s="3"/>
      <c r="F37" s="87"/>
      <c r="G37" s="3"/>
      <c r="H37" s="3"/>
      <c r="I37" s="8" t="s">
        <v>132</v>
      </c>
      <c r="J37" s="3"/>
      <c r="K37" s="3"/>
      <c r="L37" s="3" t="s">
        <v>132</v>
      </c>
      <c r="M37" s="8"/>
      <c r="N37" s="87"/>
      <c r="O37" s="3" t="s">
        <v>132</v>
      </c>
      <c r="P37" s="3"/>
    </row>
    <row r="38" spans="1:16" ht="47.25" x14ac:dyDescent="0.25">
      <c r="A38" s="73" t="s">
        <v>170</v>
      </c>
      <c r="B38" s="73" t="s">
        <v>131</v>
      </c>
      <c r="C38" s="3"/>
      <c r="D38" s="3"/>
      <c r="E38" s="3"/>
      <c r="F38" s="87"/>
      <c r="G38" s="3"/>
      <c r="H38" s="3"/>
      <c r="I38" s="8" t="s">
        <v>132</v>
      </c>
      <c r="J38" s="3"/>
      <c r="K38" s="3"/>
      <c r="L38" s="3" t="s">
        <v>132</v>
      </c>
      <c r="M38" s="8"/>
      <c r="N38" s="87"/>
      <c r="O38" s="3"/>
      <c r="P38" s="3" t="s">
        <v>132</v>
      </c>
    </row>
    <row r="39" spans="1:16" ht="31.5" x14ac:dyDescent="0.25">
      <c r="A39" s="73" t="s">
        <v>104</v>
      </c>
      <c r="B39" s="73" t="s">
        <v>128</v>
      </c>
      <c r="C39" s="3"/>
      <c r="D39" s="3"/>
      <c r="E39" s="3" t="s">
        <v>152</v>
      </c>
      <c r="F39" s="87"/>
      <c r="G39" s="3" t="s">
        <v>152</v>
      </c>
      <c r="H39" s="3" t="s">
        <v>152</v>
      </c>
      <c r="I39" s="8" t="s">
        <v>152</v>
      </c>
      <c r="J39" s="3"/>
      <c r="K39" s="3"/>
      <c r="L39" s="3"/>
      <c r="M39" s="8"/>
      <c r="N39" s="87"/>
      <c r="O39" s="3"/>
      <c r="P39" s="3"/>
    </row>
    <row r="40" spans="1:16" ht="31.5" x14ac:dyDescent="0.25">
      <c r="A40" s="73" t="s">
        <v>103</v>
      </c>
      <c r="B40" s="73" t="s">
        <v>128</v>
      </c>
      <c r="C40" s="3"/>
      <c r="D40" s="3"/>
      <c r="E40" s="3"/>
      <c r="F40" s="87"/>
      <c r="G40" s="3"/>
      <c r="H40" s="3"/>
      <c r="I40" s="8"/>
      <c r="J40" s="3" t="s">
        <v>152</v>
      </c>
      <c r="K40" s="3" t="s">
        <v>152</v>
      </c>
      <c r="L40" s="3" t="s">
        <v>152</v>
      </c>
      <c r="M40" s="8"/>
      <c r="N40" s="87"/>
      <c r="O40" s="3"/>
      <c r="P40" s="3"/>
    </row>
    <row r="41" spans="1:16" ht="32.450000000000003" customHeight="1" x14ac:dyDescent="0.25">
      <c r="A41" s="73" t="s">
        <v>103</v>
      </c>
      <c r="B41" s="73" t="s">
        <v>128</v>
      </c>
      <c r="C41" s="3"/>
      <c r="D41" s="3"/>
      <c r="E41" s="3"/>
      <c r="F41" s="87"/>
      <c r="G41" s="3"/>
      <c r="H41" s="3"/>
      <c r="I41" s="8"/>
      <c r="J41" s="3"/>
      <c r="K41" s="3"/>
      <c r="L41" s="3"/>
      <c r="M41" s="8" t="s">
        <v>152</v>
      </c>
      <c r="N41" s="87"/>
      <c r="O41" s="3" t="s">
        <v>152</v>
      </c>
      <c r="P41" s="3" t="s">
        <v>152</v>
      </c>
    </row>
  </sheetData>
  <mergeCells count="2">
    <mergeCell ref="A1:D1"/>
    <mergeCell ref="E1:P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2"/>
  <sheetViews>
    <sheetView showGridLines="0" workbookViewId="0"/>
  </sheetViews>
  <sheetFormatPr baseColWidth="10" defaultRowHeight="15" x14ac:dyDescent="0.25"/>
  <cols>
    <col min="1" max="1" width="44.42578125" customWidth="1"/>
    <col min="2" max="2" width="56.42578125" customWidth="1"/>
    <col min="3" max="3" width="45.28515625" customWidth="1"/>
    <col min="4" max="4" width="29.7109375" customWidth="1"/>
    <col min="5" max="5" width="38" customWidth="1"/>
  </cols>
  <sheetData>
    <row r="1" spans="1:5" ht="28.5" x14ac:dyDescent="0.45">
      <c r="A1" s="9" t="s">
        <v>98</v>
      </c>
      <c r="B1" s="5"/>
    </row>
    <row r="2" spans="1:5" ht="21" x14ac:dyDescent="0.35">
      <c r="A2" s="30" t="s">
        <v>12</v>
      </c>
      <c r="B2" s="30" t="s">
        <v>7</v>
      </c>
      <c r="C2" s="4"/>
      <c r="D2" s="69" t="s">
        <v>89</v>
      </c>
      <c r="E2" s="32" t="s">
        <v>36</v>
      </c>
    </row>
    <row r="3" spans="1:5" ht="45" x14ac:dyDescent="0.25">
      <c r="A3" s="29" t="s">
        <v>99</v>
      </c>
      <c r="B3" s="14" t="s">
        <v>100</v>
      </c>
      <c r="C3" s="4"/>
      <c r="D3" s="3" t="s">
        <v>26</v>
      </c>
      <c r="E3" s="3" t="s">
        <v>37</v>
      </c>
    </row>
    <row r="4" spans="1:5" x14ac:dyDescent="0.25">
      <c r="C4" s="33"/>
      <c r="D4" s="3" t="s">
        <v>16</v>
      </c>
      <c r="E4" s="3" t="s">
        <v>41</v>
      </c>
    </row>
    <row r="5" spans="1:5" x14ac:dyDescent="0.25">
      <c r="C5" s="33"/>
      <c r="D5" s="34"/>
      <c r="E5" s="3" t="s">
        <v>38</v>
      </c>
    </row>
    <row r="6" spans="1:5" x14ac:dyDescent="0.25">
      <c r="C6" s="33"/>
      <c r="D6" s="34"/>
      <c r="E6" s="3" t="s">
        <v>39</v>
      </c>
    </row>
    <row r="7" spans="1:5" x14ac:dyDescent="0.25">
      <c r="C7" s="4"/>
      <c r="E7" s="3" t="s">
        <v>97</v>
      </c>
    </row>
    <row r="8" spans="1:5" ht="18.75" x14ac:dyDescent="0.3">
      <c r="A8" s="11"/>
      <c r="B8" s="12"/>
      <c r="C8" s="4"/>
      <c r="E8" s="3" t="s">
        <v>40</v>
      </c>
    </row>
    <row r="9" spans="1:5" x14ac:dyDescent="0.25">
      <c r="A9" s="13"/>
      <c r="B9" s="10"/>
    </row>
    <row r="10" spans="1:5" x14ac:dyDescent="0.25">
      <c r="E10" s="67" t="s">
        <v>84</v>
      </c>
    </row>
    <row r="11" spans="1:5" x14ac:dyDescent="0.25">
      <c r="E11" s="3" t="s">
        <v>85</v>
      </c>
    </row>
    <row r="12" spans="1:5" ht="28.5" x14ac:dyDescent="0.45">
      <c r="A12" s="7" t="s">
        <v>13</v>
      </c>
      <c r="B12" s="6"/>
      <c r="E12" s="3" t="s">
        <v>81</v>
      </c>
    </row>
    <row r="13" spans="1:5" x14ac:dyDescent="0.25">
      <c r="A13" s="8" t="s">
        <v>14</v>
      </c>
      <c r="B13" s="8" t="s">
        <v>114</v>
      </c>
      <c r="E13" s="3" t="s">
        <v>86</v>
      </c>
    </row>
    <row r="14" spans="1:5" x14ac:dyDescent="0.25">
      <c r="A14" s="3" t="s">
        <v>15</v>
      </c>
      <c r="B14" s="3" t="s">
        <v>16</v>
      </c>
      <c r="E14" s="68" t="s">
        <v>87</v>
      </c>
    </row>
    <row r="15" spans="1:5" x14ac:dyDescent="0.25">
      <c r="E15" s="68" t="s">
        <v>88</v>
      </c>
    </row>
    <row r="26" spans="1:3" ht="28.5" x14ac:dyDescent="0.45">
      <c r="A26" s="9" t="s">
        <v>17</v>
      </c>
      <c r="B26" s="5"/>
      <c r="C26" s="5"/>
    </row>
    <row r="27" spans="1:3" ht="21" x14ac:dyDescent="0.35">
      <c r="A27" s="30" t="s">
        <v>101</v>
      </c>
      <c r="B27" s="78" t="s">
        <v>109</v>
      </c>
      <c r="C27" s="81" t="s">
        <v>110</v>
      </c>
    </row>
    <row r="28" spans="1:3" ht="15.75" x14ac:dyDescent="0.25">
      <c r="A28" s="29" t="s">
        <v>102</v>
      </c>
      <c r="B28" s="79" t="s">
        <v>113</v>
      </c>
      <c r="C28" s="31" t="s">
        <v>111</v>
      </c>
    </row>
    <row r="29" spans="1:3" ht="31.5" x14ac:dyDescent="0.25">
      <c r="A29" s="73" t="s">
        <v>106</v>
      </c>
      <c r="B29" s="76" t="s">
        <v>112</v>
      </c>
      <c r="C29" s="80" t="s">
        <v>112</v>
      </c>
    </row>
    <row r="30" spans="1:3" ht="31.5" x14ac:dyDescent="0.25">
      <c r="A30" s="73" t="s">
        <v>107</v>
      </c>
      <c r="B30" s="77" t="s">
        <v>105</v>
      </c>
      <c r="C30" s="68" t="s">
        <v>105</v>
      </c>
    </row>
    <row r="31" spans="1:3" ht="31.5" x14ac:dyDescent="0.25">
      <c r="A31" s="74" t="s">
        <v>108</v>
      </c>
      <c r="B31" s="82"/>
      <c r="C31" s="83"/>
    </row>
    <row r="32" spans="1:3" ht="47.25" x14ac:dyDescent="0.25">
      <c r="A32" s="73" t="s">
        <v>104</v>
      </c>
      <c r="B32" s="84" t="s">
        <v>103</v>
      </c>
      <c r="C32" s="84" t="s">
        <v>103</v>
      </c>
    </row>
  </sheetData>
  <customSheetViews>
    <customSheetView guid="{A9A16196-6861-4A6C-AAFE-6C81857751A4}">
      <selection activeCell="B22" sqref="B22"/>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data_ant_live_klipp</vt:lpstr>
      <vt:lpstr>data_ant_mediaalt</vt:lpstr>
      <vt:lpstr>ikke_videoklipp</vt:lpstr>
      <vt:lpstr>kommentar</vt:lpstr>
      <vt:lpstr>nettleser</vt:lpstr>
      <vt:lpstr>S2.9</vt:lpstr>
      <vt:lpstr>side</vt:lpstr>
      <vt:lpstr>slutt_data</vt:lpstr>
      <vt:lpstr>Data!StartTabell</vt:lpstr>
      <vt:lpstr>sum_testa</vt:lpstr>
      <vt:lpstr>uten_lyd</vt:lpstr>
      <vt:lpstr>Registering!Utskriftstitler</vt:lpstr>
      <vt:lpstr>versjon.nettleser</vt:lpstr>
      <vt:lpstr>videoklipp</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2016-06-22T15:07:50Z</cp:lastPrinted>
  <dcterms:modified xsi:type="dcterms:W3CDTF">2017-07-19T12:00:15Z</dcterms:modified>
</cp:coreProperties>
</file>